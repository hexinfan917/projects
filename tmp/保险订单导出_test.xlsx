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保险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"/>
  <sheetViews>
    <sheetView workbookViewId="0"/>
  </sheetViews>
  <cols>
    <col min="1" max="1" width="22.83203125" customWidth="1"/>
    <col min="2" max="2" width="10.83203125" customWidth="1"/>
    <col min="3" max="3" width="20.83203125" customWidth="1"/>
    <col min="4" max="4" width="12.83203125" customWidth="1"/>
    <col min="5" max="5" width="12.83203125" customWidth="1"/>
    <col min="6" max="6" width="14.83203125" customWidth="1"/>
    <col min="7" max="7" width="22.83203125" customWidth="1"/>
    <col min="8" max="8" width="12.83203125" customWidth="1"/>
    <col min="9" max="9" width="30.83203125" customWidth="1"/>
    <col min="10" max="10" width="10.83203125" customWidth="1"/>
    <col min="11" max="11" width="30.83203125" customWidth="1"/>
    <col min="12" max="12" width="20.83203125" customWidth="1"/>
    <col min="13" max="13" width="20.83203125" customWidth="1"/>
  </cols>
  <sheetData>
    <row r="1">
      <c r="A1" t="str">
        <v>报名订单号</v>
      </c>
      <c r="B1" t="str">
        <v>用户ID</v>
      </c>
      <c r="C1" t="str">
        <v>路线名称</v>
      </c>
      <c r="D1" t="str">
        <v>出行日期</v>
      </c>
      <c r="E1" t="str">
        <v>联系人</v>
      </c>
      <c r="F1" t="str">
        <v>联系电话</v>
      </c>
      <c r="G1" t="str">
        <v>身份证号</v>
      </c>
      <c r="H1" t="str">
        <v>人数/宠物</v>
      </c>
      <c r="I1" t="str">
        <v>出行人信息</v>
      </c>
      <c r="J1" t="str">
        <v>宠物数量</v>
      </c>
      <c r="K1" t="str">
        <v>宠物信息</v>
      </c>
      <c r="L1" t="str">
        <v>宠物1头像</v>
      </c>
      <c r="M1" t="str">
        <v>宠物2头像</v>
      </c>
    </row>
    <row r="2">
      <c r="A2" t="str">
        <v>QD20260608175649659</v>
      </c>
      <c r="B2">
        <v>1</v>
      </c>
      <c r="C2" t="str">
        <v>贝莱特一日游</v>
      </c>
      <c r="D2" t="str">
        <v>2026-05-30</v>
      </c>
      <c r="E2" t="str">
        <v>Test</v>
      </c>
      <c r="F2" t="str">
        <v>13800138000</v>
      </c>
      <c r="G2" t="str">
        <v/>
      </c>
      <c r="H2" t="str">
        <v>2人/1宠</v>
      </c>
      <c r="I2" t="str">
        <v>Test / 13800138000</v>
      </c>
      <c r="J2">
        <v>1</v>
      </c>
      <c r="K2" t="str">
        <v>宠物1 | 名称:Dog | 品种:Golden | 性别:公 | 体重:20kg | 是否默认:否 | 状态:正常</v>
      </c>
      <c r="L2" t="str">
        <v/>
      </c>
      <c r="M2" t="str">
        <v/>
      </c>
    </row>
    <row r="3">
      <c r="A3" t="str">
        <v>QD20260530000553584</v>
      </c>
      <c r="B3">
        <v>7</v>
      </c>
      <c r="C3" t="str">
        <v>九子岩狗狗庙祈福3日游</v>
      </c>
      <c r="D3" t="str">
        <v>2026-05-30</v>
      </c>
      <c r="E3" t="str">
        <v>苏苏</v>
      </c>
      <c r="F3" t="str">
        <v>15364529785</v>
      </c>
      <c r="G3" t="str">
        <v>331023199205277023</v>
      </c>
      <c r="H3" t="str">
        <v>1人/1宠</v>
      </c>
      <c r="I3" t="str">
        <v/>
      </c>
      <c r="J3">
        <v>1</v>
      </c>
      <c r="K3" t="str">
        <v>宠物1 | 名称:豆 | 性别:母 | 出生日期:2025-06-01 | 年龄:1 | 疫苗日期:2026-05-27 | 是否默认:是 | 状态:正常 | 创建时间:2026-05-27T15:49:05</v>
      </c>
      <c r="L3">
        <f>=IMAGE("https://tailtravel.cn/api/v1/files/static/images/202605/20260530_153724_09cb6cb8.jpg?w=200&amp;q=75")</f>
      </c>
      <c r="M3" t="str">
        <v/>
      </c>
    </row>
    <row r="4">
      <c r="A4" t="str">
        <v>QD20260527154911017</v>
      </c>
      <c r="B4">
        <v>7</v>
      </c>
      <c r="C4" t="str">
        <v>贝莱特一日游</v>
      </c>
      <c r="D4" t="str">
        <v>2026-05-30</v>
      </c>
      <c r="E4" t="str">
        <v>苏苏</v>
      </c>
      <c r="F4" t="str">
        <v>15364529785</v>
      </c>
      <c r="G4" t="str">
        <v>331023199205277023</v>
      </c>
      <c r="H4" t="str">
        <v>1人/1宠</v>
      </c>
      <c r="I4" t="str">
        <v/>
      </c>
      <c r="J4">
        <v>1</v>
      </c>
      <c r="K4" t="str">
        <v>宠物1 | 名称:豆 | 性别:公 | 出生日期:2025-06-01 | 年龄:1 | 疫苗日期:2026-05-27 | 是否默认:是 | 状态:正常 | 创建时间:2026-05-27T15:49:05</v>
      </c>
      <c r="L4">
        <f>=IMAGE("https://tailtravel.cn/api/v1/files/static/images/202605/20260530_153724_09cb6cb8.jpg?w=200&amp;q=75")</f>
      </c>
      <c r="M4" t="str">
        <v/>
      </c>
    </row>
    <row r="5">
      <c r="A5" t="str">
        <v>QD20260530144943147</v>
      </c>
      <c r="B5">
        <v>7</v>
      </c>
      <c r="C5" t="str">
        <v>九子岩狗狗庙祈福3日游</v>
      </c>
      <c r="D5" t="str">
        <v>2026-05-31</v>
      </c>
      <c r="E5" t="str">
        <v>苏苏</v>
      </c>
      <c r="F5" t="str">
        <v>15364529785</v>
      </c>
      <c r="G5" t="str">
        <v>331023199205277023</v>
      </c>
      <c r="H5" t="str">
        <v>1人/1宠</v>
      </c>
      <c r="I5" t="str">
        <v/>
      </c>
      <c r="J5">
        <v>1</v>
      </c>
      <c r="K5" t="str">
        <v>宠物1 | 名称:豆 | 性别:母 | 出生日期:2025-06-01 | 年龄:1 | 疫苗日期:2026-05-27 | 是否默认:是 | 状态:正常 | 创建时间:2026-05-27T15:49:05</v>
      </c>
      <c r="L5">
        <f>=IMAGE("https://tailtravel.cn/api/v1/files/static/images/202605/20260530_153724_09cb6cb8.jpg?w=200&amp;q=75")</f>
      </c>
      <c r="M5" t="str">
        <v/>
      </c>
    </row>
    <row r="6">
      <c r="A6" t="str">
        <v>QD20260530141825179</v>
      </c>
      <c r="B6">
        <v>7</v>
      </c>
      <c r="C6" t="str">
        <v>测试支付</v>
      </c>
      <c r="D6" t="str">
        <v>2026-05-31</v>
      </c>
      <c r="E6" t="str">
        <v>苏苏</v>
      </c>
      <c r="F6" t="str">
        <v>15364529785</v>
      </c>
      <c r="G6" t="str">
        <v>331023199205277023</v>
      </c>
      <c r="H6" t="str">
        <v>2人/1宠</v>
      </c>
      <c r="I6" t="str">
        <v>贺新帆 / 18734729301 / 142630200009171026</v>
      </c>
      <c r="J6">
        <v>1</v>
      </c>
      <c r="K6" t="str">
        <v>宠物1 | 名称:豆 | 性别:母 | 出生日期:2025-06-01 | 年龄:1 | 疫苗日期:2026-05-27 | 是否默认:是 | 状态:正常 | 创建时间:2026-05-27T15:49:05</v>
      </c>
      <c r="L6">
        <f>=IMAGE("https://tailtravel.cn/api/v1/files/static/images/202605/20260530_153724_09cb6cb8.jpg?w=200&amp;q=75")</f>
      </c>
      <c r="M6" t="str">
        <v/>
      </c>
    </row>
    <row r="7">
      <c r="A7" t="str">
        <v>QD20260530125203548</v>
      </c>
      <c r="B7">
        <v>9</v>
      </c>
      <c r="C7" t="str">
        <v>九子岩狗狗庙祈福3日游</v>
      </c>
      <c r="D7" t="str">
        <v>2026-05-31</v>
      </c>
      <c r="E7" t="str">
        <v>贺帆</v>
      </c>
      <c r="F7" t="str">
        <v>15038634886</v>
      </c>
      <c r="G7" t="str">
        <v>412825200008072101</v>
      </c>
      <c r="H7" t="str">
        <v>2人/1宠</v>
      </c>
      <c r="I7" t="str">
        <v>张张 / 15038634886 / 142630200009171026</v>
      </c>
      <c r="J7">
        <v>1</v>
      </c>
      <c r="K7" t="str">
        <v>宠物1 | 名称:狗狗 | 性别:公 | 出生日期:2025-05-30 | 年龄:1 | 疫苗日期:2026-05-30 | 是否默认:是 | 状态:正常 | 创建时间:2026-05-30T12:04:55</v>
      </c>
      <c r="L7" t="str">
        <v/>
      </c>
      <c r="M7" t="str">
        <v/>
      </c>
    </row>
    <row r="8">
      <c r="A8" t="str">
        <v>QD20260530124602404</v>
      </c>
      <c r="B8">
        <v>9</v>
      </c>
      <c r="C8" t="str">
        <v>九子岩狗狗庙祈福3日游</v>
      </c>
      <c r="D8" t="str">
        <v>2026-05-31</v>
      </c>
      <c r="E8" t="str">
        <v>贺帆</v>
      </c>
      <c r="F8" t="str">
        <v>15038634886</v>
      </c>
      <c r="G8" t="str">
        <v>412825200008072101</v>
      </c>
      <c r="H8" t="str">
        <v>2人/1宠</v>
      </c>
      <c r="I8" t="str">
        <v>张张 / 15038634886 / 142630200009171026</v>
      </c>
      <c r="J8">
        <v>1</v>
      </c>
      <c r="K8" t="str">
        <v>宠物1 | 名称:狗狗 | 性别:公 | 出生日期:2025-05-30 | 年龄:1 | 疫苗日期:2026-05-30 | 是否默认:是 | 状态:正常 | 创建时间:2026-05-30T12:04:55</v>
      </c>
      <c r="L8" t="str">
        <v/>
      </c>
      <c r="M8" t="str">
        <v/>
      </c>
    </row>
    <row r="9">
      <c r="A9" t="str">
        <v>QD20260530120706061</v>
      </c>
      <c r="B9">
        <v>9</v>
      </c>
      <c r="C9" t="str">
        <v>九子岩狗狗庙祈福3日游</v>
      </c>
      <c r="D9" t="str">
        <v>2026-05-31</v>
      </c>
      <c r="E9" t="str">
        <v>贺帆</v>
      </c>
      <c r="F9" t="str">
        <v>15038634886</v>
      </c>
      <c r="G9" t="str">
        <v>412825200008072101</v>
      </c>
      <c r="H9" t="str">
        <v>1人/1宠</v>
      </c>
      <c r="I9" t="str">
        <v/>
      </c>
      <c r="J9">
        <v>1</v>
      </c>
      <c r="K9" t="str">
        <v>宠物1 | 名称:狗狗 | 性别:公 | 出生日期:2025-05-30 | 年龄:1 | 疫苗日期:2026-05-30 | 是否默认:是 | 状态:正常 | 创建时间:2026-05-30T12:04:55</v>
      </c>
      <c r="L9" t="str">
        <v/>
      </c>
      <c r="M9" t="str">
        <v/>
      </c>
    </row>
    <row r="10">
      <c r="A10" t="str">
        <v>QD20260530100924629</v>
      </c>
      <c r="B10">
        <v>7</v>
      </c>
      <c r="C10" t="str">
        <v>九子岩狗狗庙祈福3日游</v>
      </c>
      <c r="D10" t="str">
        <v>2026-05-31</v>
      </c>
      <c r="E10" t="str">
        <v>苏苏</v>
      </c>
      <c r="F10" t="str">
        <v>15364529785</v>
      </c>
      <c r="G10" t="str">
        <v>331023199205277023</v>
      </c>
      <c r="H10" t="str">
        <v>1人/1宠</v>
      </c>
      <c r="I10" t="str">
        <v/>
      </c>
      <c r="J10">
        <v>1</v>
      </c>
      <c r="K10" t="str">
        <v>宠物1 | 名称:豆 | 性别:母 | 出生日期:2025-06-01 | 年龄:1 | 疫苗日期:2026-05-27 | 是否默认:是 | 状态:正常 | 创建时间:2026-05-27T15:49:05</v>
      </c>
      <c r="L10">
        <f>=IMAGE("https://tailtravel.cn/api/v1/files/static/images/202605/20260530_153724_09cb6cb8.jpg?w=200&amp;q=75")</f>
      </c>
      <c r="M10" t="str">
        <v/>
      </c>
    </row>
    <row r="11">
      <c r="A11" t="str">
        <v>QD20260526173323922</v>
      </c>
      <c r="B11">
        <v>3</v>
      </c>
      <c r="C11" t="str">
        <v>测试支付</v>
      </c>
      <c r="D11" t="str">
        <v>2026-05-31</v>
      </c>
      <c r="E11" t="str">
        <v>帆帆</v>
      </c>
      <c r="F11" t="str">
        <v>18734729308</v>
      </c>
      <c r="G11" t="str">
        <v>142630200009171026</v>
      </c>
      <c r="H11" t="str">
        <v>1人/1宠</v>
      </c>
      <c r="I11" t="str">
        <v/>
      </c>
      <c r="J11">
        <v>1</v>
      </c>
      <c r="K11" t="str">
        <v>宠物1 | 名称:豆豆 | 性别:公 | 出生日期:2025-05-26 | 年龄:1 | 疫苗日期:2025-05-26 | 是否默认:是 | 状态:正常 | 创建时间:2026-05-26T17:33:13</v>
      </c>
      <c r="L11" t="str">
        <v/>
      </c>
      <c r="M11" t="str">
        <v/>
      </c>
    </row>
    <row r="12">
      <c r="A12" t="str">
        <v>QD20260526171115051</v>
      </c>
      <c r="B12">
        <v>1</v>
      </c>
      <c r="C12" t="str">
        <v>测试支付</v>
      </c>
      <c r="D12" t="str">
        <v>2026-05-31</v>
      </c>
      <c r="E12" t="str">
        <v>帆帆</v>
      </c>
      <c r="F12" t="str">
        <v>18734729308</v>
      </c>
      <c r="G12" t="str">
        <v>142630200009171026</v>
      </c>
      <c r="H12" t="str">
        <v>1人/1宠</v>
      </c>
      <c r="I12" t="str">
        <v/>
      </c>
      <c r="J12">
        <v>1</v>
      </c>
      <c r="K12" t="str">
        <v>宠物1 | 名称:豆 | 品种:柴犬 | 性别:公 | 年龄:1岁半 | 体重:20kg | 疫苗日期:2025-05-26 | 是否默认:是 | 状态:正常 | 创建时间:2026-05-26T16:52:16</v>
      </c>
      <c r="L12">
        <f>=IMAGE("https://tailtravel.cn/api/v1/files/static/images/202605/20260526_165154_5e9b49b7.jpg?w=200&amp;q=75")</f>
      </c>
      <c r="M12" t="str">
        <v/>
      </c>
    </row>
    <row r="13">
      <c r="A13" t="str">
        <v>QD20260526165443687</v>
      </c>
      <c r="B13">
        <v>1</v>
      </c>
      <c r="C13" t="str">
        <v>测试支付</v>
      </c>
      <c r="D13" t="str">
        <v>2026-05-31</v>
      </c>
      <c r="E13" t="str">
        <v>帆帆</v>
      </c>
      <c r="F13" t="str">
        <v>18734729308</v>
      </c>
      <c r="G13" t="str">
        <v>142630200009171026</v>
      </c>
      <c r="H13" t="str">
        <v>1人/1宠</v>
      </c>
      <c r="I13" t="str">
        <v/>
      </c>
      <c r="J13">
        <v>1</v>
      </c>
      <c r="K13" t="str">
        <v>宠物1 | 名称:豆 | 品种:柴犬 | 性别:公 | 年龄:1岁半 | 体重:20kg | 疫苗日期:2025-05-26 | 是否默认:是 | 状态:正常 | 创建时间:2026-05-26T16:52:16</v>
      </c>
      <c r="L13">
        <f>=IMAGE("https://tailtravel.cn/api/v1/files/static/images/202605/20260526_165154_5e9b49b7.jpg?w=200&amp;q=75")</f>
      </c>
      <c r="M13" t="str">
        <v/>
      </c>
    </row>
    <row r="14">
      <c r="A14" t="str">
        <v>QD20260606184400218</v>
      </c>
      <c r="B14">
        <v>77</v>
      </c>
      <c r="C14" t="str">
        <v>6月会员活动-夏日逃暑计划</v>
      </c>
      <c r="D14" t="str">
        <v>2026-06-06</v>
      </c>
      <c r="E14" t="str">
        <v>何嘉丽</v>
      </c>
      <c r="F14" t="str">
        <v>18773351516</v>
      </c>
      <c r="G14" t="str">
        <v>430981200106185626</v>
      </c>
      <c r="H14" t="str">
        <v>1人/1宠</v>
      </c>
      <c r="I14" t="str">
        <v/>
      </c>
      <c r="J14">
        <v>1</v>
      </c>
      <c r="K14" t="str">
        <v>宠物1 | 名称:十八 | 品种:边牧 | 性别:母 | 出生日期:2025-06-06 | 年龄:1 | 体重:16kg | 疫苗日期:2026-01-18 | 是否默认:是 | 状态:正常 | 创建时间:2026-06-06T18:43:16</v>
      </c>
      <c r="L14">
        <f>=IMAGE("https://tailtravel.cn/api/v1/files/static/images/202606/20260606_184243_30dc9d10.jpg?w=200&amp;q=75")</f>
      </c>
      <c r="M14" t="str">
        <v/>
      </c>
    </row>
    <row r="15">
      <c r="A15" t="str">
        <v>QD20260606184320516</v>
      </c>
      <c r="B15">
        <v>77</v>
      </c>
      <c r="C15" t="str">
        <v>6月会员活动-夏日逃暑计划</v>
      </c>
      <c r="D15" t="str">
        <v>2026-06-06</v>
      </c>
      <c r="E15" t="str">
        <v>何嘉丽</v>
      </c>
      <c r="F15" t="str">
        <v>18773351516</v>
      </c>
      <c r="G15" t="str">
        <v>430981200106185626</v>
      </c>
      <c r="H15" t="str">
        <v>1人/1宠</v>
      </c>
      <c r="I15" t="str">
        <v/>
      </c>
      <c r="J15">
        <v>1</v>
      </c>
      <c r="K15" t="str">
        <v>宠物1 | 名称:十八 | 品种:边牧 | 性别:母 | 出生日期:2025-06-06 | 年龄:1 | 体重:16kg | 疫苗日期:2026-01-18 | 是否默认:是 | 状态:正常 | 创建时间:2026-06-06T18:43:16</v>
      </c>
      <c r="L15">
        <f>=IMAGE("https://tailtravel.cn/api/v1/files/static/images/202606/20260606_184243_30dc9d10.jpg?w=200&amp;q=75")</f>
      </c>
      <c r="M15" t="str">
        <v/>
      </c>
    </row>
    <row r="16">
      <c r="A16" t="str">
        <v>QD20260606171740615</v>
      </c>
      <c r="B16">
        <v>76</v>
      </c>
      <c r="C16" t="str">
        <v>6月会员活动-夏日逃暑计划</v>
      </c>
      <c r="D16" t="str">
        <v>2026-06-06</v>
      </c>
      <c r="E16" t="str">
        <v>刘洋</v>
      </c>
      <c r="F16" t="str">
        <v>18280927391</v>
      </c>
      <c r="G16" t="str">
        <v>511011200107287811</v>
      </c>
      <c r="H16" t="str">
        <v>1人/1宠</v>
      </c>
      <c r="I16" t="str">
        <v/>
      </c>
      <c r="J16">
        <v>1</v>
      </c>
      <c r="K16" t="str">
        <v>宠物1 | 名称:钢镚 | 品种:金毛 | 性别:母 | 出生日期:2023-06-06 | 年龄:3 | 体重:60kg | 疫苗日期:2025-08-06 | 是否默认:是 | 状态:正常 | 创建时间:2026-06-06T17:15:01</v>
      </c>
      <c r="L16">
        <f>=IMAGE("https://tailtravel.cn/api/v1/files/static/images/202606/20260606_171328_3d1751ad.jpg?w=200&amp;q=75")</f>
      </c>
      <c r="M16" t="str">
        <v/>
      </c>
    </row>
    <row r="17">
      <c r="A17" t="str">
        <v>QD20260606171506033</v>
      </c>
      <c r="B17">
        <v>76</v>
      </c>
      <c r="C17" t="str">
        <v>6月会员活动-夏日逃暑计划</v>
      </c>
      <c r="D17" t="str">
        <v>2026-06-06</v>
      </c>
      <c r="E17" t="str">
        <v>许如玉</v>
      </c>
      <c r="F17" t="str">
        <v>18668798183</v>
      </c>
      <c r="G17" t="str">
        <v/>
      </c>
      <c r="H17" t="str">
        <v>1人/1宠</v>
      </c>
      <c r="I17" t="str">
        <v/>
      </c>
      <c r="J17">
        <v>1</v>
      </c>
      <c r="K17" t="str">
        <v>宠物1 | 名称:钢镚 | 品种:金毛 | 性别:母 | 出生日期:2023-06-06 | 年龄:3 | 体重:60kg | 疫苗日期:2025-08-06 | 是否默认:是 | 状态:正常 | 创建时间:2026-06-06T17:15:01</v>
      </c>
      <c r="L17">
        <f>=IMAGE("https://tailtravel.cn/api/v1/files/static/images/202606/20260606_171328_3d1751ad.jpg?w=200&amp;q=75")</f>
      </c>
      <c r="M17" t="str">
        <v/>
      </c>
    </row>
    <row r="18">
      <c r="A18" t="str">
        <v>QD20260605160526630</v>
      </c>
      <c r="B18">
        <v>64</v>
      </c>
      <c r="C18" t="str">
        <v>6月会员活动-夏日逃暑计划</v>
      </c>
      <c r="D18" t="str">
        <v>2026-06-06</v>
      </c>
      <c r="E18" t="str">
        <v>赵淑敏</v>
      </c>
      <c r="F18" t="str">
        <v>17300972462</v>
      </c>
      <c r="G18" t="str">
        <v>33018220110107236X</v>
      </c>
      <c r="H18" t="str">
        <v>1人/1宠</v>
      </c>
      <c r="I18" t="str">
        <v/>
      </c>
      <c r="J18">
        <v>1</v>
      </c>
      <c r="K18" t="str">
        <v>宠物1 | 名称:顺财 | 品种:萨摩耶 | 性别:母 | 年龄:0.35 | 体重:6kg | 疫苗日期:2026-05-24 | 是否默认:是 | 状态:正常 | 创建时间:2026-06-05T16:03:18</v>
      </c>
      <c r="L18">
        <f>=IMAGE("https://tailtravel.cn/api/v1/files/static/images/202606/20260605_160220_a369a15a.jpg?w=200&amp;q=75")</f>
      </c>
      <c r="M18" t="str">
        <v/>
      </c>
    </row>
    <row r="19">
      <c r="A19" t="str">
        <v>QD20260605110339258</v>
      </c>
      <c r="B19">
        <v>61</v>
      </c>
      <c r="C19" t="str">
        <v>6月会员活动-夏日逃暑计划</v>
      </c>
      <c r="D19" t="str">
        <v>2026-06-06</v>
      </c>
      <c r="E19" t="str">
        <v>倪炉军</v>
      </c>
      <c r="F19" t="str">
        <v>15925609596</v>
      </c>
      <c r="G19" t="str">
        <v>330183199409093833</v>
      </c>
      <c r="H19" t="str">
        <v>1人/1宠</v>
      </c>
      <c r="I19" t="str">
        <v/>
      </c>
      <c r="J19">
        <v>1</v>
      </c>
      <c r="K19" t="str">
        <v>宠物1 | 名称:火箭 | 品种:柯基 | 性别:公 | 出生日期:2023-06-05 | 年龄:3 | 体重:16kg | 疫苗日期:2026-05-31 | 是否默认:是 | 状态:正常 | 创建时间:2026-06-05T11:03:35</v>
      </c>
      <c r="L19">
        <f>=IMAGE("https://tailtravel.cn/api/v1/files/static/images/202606/20260605_110313_d97a8f57.jpg?w=200&amp;q=75")</f>
      </c>
      <c r="M19" t="str">
        <v/>
      </c>
    </row>
    <row r="20">
      <c r="A20" t="str">
        <v>QD20260604213942389</v>
      </c>
      <c r="B20">
        <v>59</v>
      </c>
      <c r="C20" t="str">
        <v>6月会员活动-夏日逃暑计划</v>
      </c>
      <c r="D20" t="str">
        <v>2026-06-06</v>
      </c>
      <c r="E20" t="str">
        <v>郑心宇</v>
      </c>
      <c r="F20" t="str">
        <v>19817807335</v>
      </c>
      <c r="G20" t="str">
        <v>330106200104052726</v>
      </c>
      <c r="H20" t="str">
        <v>1人/1宠</v>
      </c>
      <c r="I20" t="str">
        <v/>
      </c>
      <c r="J20">
        <v>1</v>
      </c>
      <c r="K20" t="str">
        <v>宠物1 | 名称:维尼 | 品种:雪纳瑞 | 性别:母 | 出生日期:2022-06-04 | 年龄:4 | 疫苗日期:2025-08-07 | 是否默认:是 | 状态:正常 | 创建时间:2026-06-04T21:39:38</v>
      </c>
      <c r="L20">
        <f>=IMAGE("https://tailtravel.cn/api/v1/files/static/images/202606/20260604_213925_28a575b2.jpg?w=200&amp;q=75")</f>
      </c>
      <c r="M20" t="str">
        <v/>
      </c>
    </row>
    <row r="21">
      <c r="A21" t="str">
        <v>QD20260604205326412</v>
      </c>
      <c r="B21">
        <v>58</v>
      </c>
      <c r="C21" t="str">
        <v>6月会员活动-夏日逃暑计划</v>
      </c>
      <c r="D21" t="str">
        <v>2026-06-06</v>
      </c>
      <c r="E21" t="str">
        <v>魏霞</v>
      </c>
      <c r="F21" t="str">
        <v>18329100231</v>
      </c>
      <c r="G21" t="str">
        <v>510524199412094728</v>
      </c>
      <c r="H21" t="str">
        <v>1人/1宠</v>
      </c>
      <c r="I21" t="str">
        <v/>
      </c>
      <c r="J21">
        <v>1</v>
      </c>
      <c r="K21" t="str">
        <v>宠物1 | 名称:秋秋 | 品种:比熊 | 性别:母 | 出生日期:2022-06-04 | 年龄:4 | 体重:7kg | 疫苗日期:2025-10-15 | 是否默认:是 | 状态:正常 | 创建时间:2026-06-04T20:52:39</v>
      </c>
      <c r="L21">
        <f>=IMAGE("https://tailtravel.cn/api/v1/files/static/images/202606/20260604_205156_4b55277a.jpg?w=200&amp;q=75")</f>
      </c>
      <c r="M21" t="str">
        <v/>
      </c>
    </row>
    <row r="22" xml:space="preserve">
      <c r="A22" t="str">
        <v>QD20260604205247976</v>
      </c>
      <c r="B22">
        <v>58</v>
      </c>
      <c r="C22" t="str">
        <v>6月会员活动-夏日逃暑计划</v>
      </c>
      <c r="D22" t="str">
        <v>2026-06-06</v>
      </c>
      <c r="E22" t="str">
        <v>魏霞</v>
      </c>
      <c r="F22" t="str">
        <v>18329100231</v>
      </c>
      <c r="G22" t="str">
        <v>510524199412094728</v>
      </c>
      <c r="H22" t="str">
        <v>1人/2宠</v>
      </c>
      <c r="I22" t="str">
        <v/>
      </c>
      <c r="J22">
        <v>2</v>
      </c>
      <c r="K22" t="str" xml:space="preserve">
        <v xml:space="preserve">宠物1 | 名称:秋秋 | 品种:比熊 | 性别:母 | 出生日期:2022-06-04 | 年龄:4 | 体重:7kg | 疫苗日期:2025-10-15 | 是否默认:是 | 状态:正常 | 创建时间:2026-06-04T20:52:39
宠物2 | 名称:让让 | 品种:比熊 | 性别:公 | 出生日期:2025-06-04 | 年龄:1 | 体重:2.2kg | 疫苗日期:2025-11-15 | 是否默认:否 | 状态:正常 | 创建时间:2026-06-04T20:49:58</v>
      </c>
      <c r="L22">
        <f>=IMAGE("https://tailtravel.cn/api/v1/files/static/images/202606/20260604_205156_4b55277a.jpg?w=200&amp;q=75")</f>
      </c>
      <c r="M22">
        <f>=IMAGE("https://tailtravel.cn/api/v1/files/static/images/202606/20260604_204908_70162d5d.jpg?w=200&amp;q=75")</f>
      </c>
    </row>
    <row r="23">
      <c r="A23" t="str">
        <v>QD20260604204721550</v>
      </c>
      <c r="B23">
        <v>57</v>
      </c>
      <c r="C23" t="str">
        <v>6月会员活动-夏日逃暑计划</v>
      </c>
      <c r="D23" t="str">
        <v>2026-06-06</v>
      </c>
      <c r="E23" t="str">
        <v>陆佳瑶</v>
      </c>
      <c r="F23" t="str">
        <v>17300798743</v>
      </c>
      <c r="G23" t="str">
        <v>330110200206174323</v>
      </c>
      <c r="H23" t="str">
        <v>1人/1宠</v>
      </c>
      <c r="I23" t="str">
        <v/>
      </c>
      <c r="J23">
        <v>1</v>
      </c>
      <c r="K23" t="str">
        <v>宠物1 | 名称:旺斯 | 品种:腊肠 | 性别:公 | 出生日期:2025-06-04 | 年龄:1 | 体重:7kg | 疫苗日期:2025-07-04 | 是否默认:是 | 状态:正常 | 创建时间:2026-06-04T20:47:18</v>
      </c>
      <c r="L23">
        <f>=IMAGE("https://tailtravel.cn/api/v1/files/static/images/202606/20260604_204649_d80212c1.jpg?w=200&amp;q=75")</f>
      </c>
      <c r="M23" t="str">
        <v/>
      </c>
    </row>
    <row r="24">
      <c r="A24" t="str">
        <v>QD20260604162333931</v>
      </c>
      <c r="B24">
        <v>52</v>
      </c>
      <c r="C24" t="str">
        <v>6月会员活动-夏日逃暑计划</v>
      </c>
      <c r="D24" t="str">
        <v>2026-06-06</v>
      </c>
      <c r="E24" t="str">
        <v>周心怡</v>
      </c>
      <c r="F24" t="str">
        <v>13362773320</v>
      </c>
      <c r="G24" t="str">
        <v>330327199810171340</v>
      </c>
      <c r="H24" t="str">
        <v>1人/1宠</v>
      </c>
      <c r="I24" t="str">
        <v/>
      </c>
      <c r="J24">
        <v>1</v>
      </c>
      <c r="K24" t="str">
        <v>宠物1 | 名称:饭团 | 品种:柯基 | 性别:公 | 出生日期:2016-06-04 | 年龄:10 | 体重:15kg | 疫苗日期:2025-01-28 | 是否默认:是 | 状态:正常 | 创建时间:2026-06-04T16:23:29</v>
      </c>
      <c r="L24">
        <f>=IMAGE("https://tailtravel.cn/api/v1/files/static/images/202606/20260604_162254_2776ec7c.jpg?w=200&amp;q=75")</f>
      </c>
      <c r="M24" t="str">
        <v/>
      </c>
    </row>
    <row r="25">
      <c r="A25" t="str">
        <v>QD20260604161239780</v>
      </c>
      <c r="B25">
        <v>51</v>
      </c>
      <c r="C25" t="str">
        <v>6月会员活动-夏日逃暑计划</v>
      </c>
      <c r="D25" t="str">
        <v>2026-06-06</v>
      </c>
      <c r="E25" t="str">
        <v>海晨曦</v>
      </c>
      <c r="F25" t="str">
        <v>13071819702</v>
      </c>
      <c r="G25" t="str">
        <v>650102199907291249</v>
      </c>
      <c r="H25" t="str">
        <v>1人/1宠</v>
      </c>
      <c r="I25" t="str">
        <v/>
      </c>
      <c r="J25">
        <v>1</v>
      </c>
      <c r="K25" t="str">
        <v>宠物1 | 名称:毛金 | 品种:腊肠 | 性别:公 | 年龄:0.9 | 体重:9kg | 疫苗日期:2025-12-04 | 是否默认:是 | 状态:正常 | 创建时间:2026-06-04T16:12:33</v>
      </c>
      <c r="L25">
        <f>=IMAGE("https://tailtravel.cn/api/v1/files/static/images/202606/20260604_161159_42540eba.jpg?w=200&amp;q=75")</f>
      </c>
      <c r="M25" t="str">
        <v/>
      </c>
    </row>
    <row r="26">
      <c r="A26" t="str">
        <v>QD20260604151246607</v>
      </c>
      <c r="B26">
        <v>49</v>
      </c>
      <c r="C26" t="str">
        <v>6月会员活动-夏日逃暑计划</v>
      </c>
      <c r="D26" t="str">
        <v>2026-06-06</v>
      </c>
      <c r="E26" t="str">
        <v>黄雯静</v>
      </c>
      <c r="F26" t="str">
        <v>13857618754</v>
      </c>
      <c r="G26" t="str">
        <v>331082199909177469</v>
      </c>
      <c r="H26" t="str">
        <v>1人/1宠</v>
      </c>
      <c r="I26" t="str">
        <v/>
      </c>
      <c r="J26">
        <v>1</v>
      </c>
      <c r="K26" t="str">
        <v>宠物1 | 名称:贝果 | 品种:马尔济斯 | 性别:公 | 年龄:1.5 | 体重:3.2kg | 疫苗日期:2025-06-27 | 是否默认:是 | 状态:正常 | 创建时间:2026-06-04T15:12:38</v>
      </c>
      <c r="L26">
        <f>=IMAGE("https://tailtravel.cn/api/v1/files/static/images/202606/20260604_151212_233e1838.jpg?w=200&amp;q=75")</f>
      </c>
      <c r="M26" t="str">
        <v/>
      </c>
    </row>
    <row r="27">
      <c r="A27" t="str">
        <v>QD20260604104252048</v>
      </c>
      <c r="B27">
        <v>48</v>
      </c>
      <c r="C27" t="str">
        <v>6月会员活动-夏日逃暑计划</v>
      </c>
      <c r="D27" t="str">
        <v>2026-06-06</v>
      </c>
      <c r="E27" t="str">
        <v>陆林燕</v>
      </c>
      <c r="F27" t="str">
        <v>18267105697</v>
      </c>
      <c r="G27" t="str">
        <v>339005199812289223</v>
      </c>
      <c r="H27" t="str">
        <v>2人/1宠</v>
      </c>
      <c r="I27" t="str">
        <v>陆娟 / 18267105697 / 339005199110169227</v>
      </c>
      <c r="J27">
        <v>1</v>
      </c>
      <c r="K27" t="str">
        <v>宠物1 | 名称:墨墨 | 品种:边牧田园串 | 性别:母 | 年龄:0.3 | 体重:9kg | 疫苗日期:2026-05-30 | 是否默认:是 | 状态:正常 | 创建时间:2026-06-04T10:35:30</v>
      </c>
      <c r="L27">
        <f>=IMAGE("https://tailtravel.cn/api/v1/files/static/images/202606/20260604_103236_599b4055.jpg?w=200&amp;q=75")</f>
      </c>
      <c r="M27" t="str">
        <v/>
      </c>
    </row>
    <row r="28" xml:space="preserve">
      <c r="A28" t="str">
        <v>QD20260604031410923</v>
      </c>
      <c r="B28">
        <v>47</v>
      </c>
      <c r="C28" t="str">
        <v>6月会员活动-夏日逃暑计划</v>
      </c>
      <c r="D28" t="str">
        <v>2026-06-06</v>
      </c>
      <c r="E28" t="str">
        <v>孟涵筱</v>
      </c>
      <c r="F28" t="str">
        <v>13738129690</v>
      </c>
      <c r="G28" t="str">
        <v>330109200510181645</v>
      </c>
      <c r="H28" t="str">
        <v>2人/2宠</v>
      </c>
      <c r="I28" t="str">
        <v>童嘉俊 / 13738129390 / 330127200607125319</v>
      </c>
      <c r="J28">
        <v>2</v>
      </c>
      <c r="K28" t="str" xml:space="preserve">
        <v xml:space="preserve">宠物1 | 名称:奥斯卡 | 品种:博美 | 性别:公 | 出生日期:2021-06-04 | 年龄:5 | 体重:6kg | 疫苗日期:2025-07-29 | 是否默认:是 | 状态:正常 | 创建时间:2026-06-04T03:12:38
宠物2 | 名称:布鲁托 | 品种:美卡 | 性别:公 | 年龄:6个月 | 体重:5kg | 疫苗日期:2026-05-07 | 是否默认:否 | 状态:正常 | 创建时间:2026-06-04T03:14:07</v>
      </c>
      <c r="L28">
        <f>=IMAGE("https://tailtravel.cn/api/v1/files/static/images/202606/20260604_031205_ff16fa88.jpg?w=200&amp;q=75")</f>
      </c>
      <c r="M28">
        <f>=IMAGE("https://tailtravel.cn/api/v1/files/static/images/202606/20260604_031335_e3d773f7.jpg?w=200&amp;q=75")</f>
      </c>
    </row>
    <row r="29">
      <c r="A29" t="str">
        <v>QD20260603214538241</v>
      </c>
      <c r="B29">
        <v>7</v>
      </c>
      <c r="C29" t="str">
        <v>6月会员活动-夏日逃暑计划</v>
      </c>
      <c r="D29" t="str">
        <v>2026-06-06</v>
      </c>
      <c r="E29" t="str">
        <v>贺新帆</v>
      </c>
      <c r="F29" t="str">
        <v>18734729301</v>
      </c>
      <c r="G29" t="str">
        <v>142630200009171026</v>
      </c>
      <c r="H29" t="str">
        <v>1人/1宠</v>
      </c>
      <c r="I29" t="str">
        <v/>
      </c>
      <c r="J29">
        <v>1</v>
      </c>
      <c r="K29" t="str">
        <v>宠物1 | 名称:豆 | 性别:公 | 出生日期:2025-06-01 | 年龄:1 | 疫苗日期:2026-05-27 | 是否默认:是 | 状态:正常 | 创建时间:2026-05-27T15:49:05</v>
      </c>
      <c r="L29">
        <f>=IMAGE("https://tailtravel.cn/api/v1/files/static/images/202605/20260530_153724_09cb6cb8.jpg?w=200&amp;q=75")</f>
      </c>
      <c r="M29" t="str">
        <v/>
      </c>
    </row>
    <row r="30">
      <c r="A30" t="str">
        <v>QD20260603100202084</v>
      </c>
      <c r="B30">
        <v>45</v>
      </c>
      <c r="C30" t="str">
        <v>6月会员活动-夏日逃暑计划</v>
      </c>
      <c r="D30" t="str">
        <v>2026-06-06</v>
      </c>
      <c r="E30" t="str">
        <v>杨江</v>
      </c>
      <c r="F30" t="str">
        <v>15868965350</v>
      </c>
      <c r="G30" t="str">
        <v>522632200004203328</v>
      </c>
      <c r="H30" t="str">
        <v>1人/1宠</v>
      </c>
      <c r="I30" t="str">
        <v/>
      </c>
      <c r="J30">
        <v>1</v>
      </c>
      <c r="K30" t="str">
        <v>宠物1 | 名称:双喜崽崽 | 品种:泰迪熊 | 性别:公 | 年龄:1.9 | 体重:7.9kg | 疫苗日期:2026-06-03 | 是否默认:是 | 状态:正常 | 创建时间:2026-06-03T10:00:39</v>
      </c>
      <c r="L30">
        <f>=IMAGE("https://tailtravel.cn/api/v1/files/static/images/202606/20260603_095953_91b0f933.jpg?w=200&amp;q=75")</f>
      </c>
      <c r="M30" t="str">
        <v/>
      </c>
    </row>
    <row r="31">
      <c r="A31" t="str">
        <v>QD20260603100144833</v>
      </c>
      <c r="B31">
        <v>45</v>
      </c>
      <c r="C31" t="str">
        <v>6月会员活动-夏日逃暑计划</v>
      </c>
      <c r="D31" t="str">
        <v>2026-06-06</v>
      </c>
      <c r="E31" t="str">
        <v>杨江</v>
      </c>
      <c r="F31" t="str">
        <v>15868965350</v>
      </c>
      <c r="G31" t="str">
        <v>522632200004203328</v>
      </c>
      <c r="H31" t="str">
        <v>1人/1宠</v>
      </c>
      <c r="I31" t="str">
        <v/>
      </c>
      <c r="J31">
        <v>1</v>
      </c>
      <c r="K31" t="str">
        <v>宠物1 | 名称:双喜崽崽 | 品种:泰迪熊 | 性别:公 | 年龄:1.9 | 体重:7.9kg | 疫苗日期:2026-06-03 | 是否默认:是 | 状态:正常 | 创建时间:2026-06-03T10:00:39</v>
      </c>
      <c r="L31">
        <f>=IMAGE("https://tailtravel.cn/api/v1/files/static/images/202606/20260603_095953_91b0f933.jpg?w=200&amp;q=75")</f>
      </c>
      <c r="M31" t="str">
        <v/>
      </c>
    </row>
    <row r="32">
      <c r="A32" t="str">
        <v>QD20260602191745634</v>
      </c>
      <c r="B32">
        <v>44</v>
      </c>
      <c r="C32" t="str">
        <v>6月会员活动-夏日逃暑计划</v>
      </c>
      <c r="D32" t="str">
        <v>2026-06-06</v>
      </c>
      <c r="E32" t="str">
        <v>许贇玥</v>
      </c>
      <c r="F32" t="str">
        <v>19921310776</v>
      </c>
      <c r="G32" t="str">
        <v>342921199906161129</v>
      </c>
      <c r="H32" t="str">
        <v>1人/1宠</v>
      </c>
      <c r="I32" t="str">
        <v/>
      </c>
      <c r="J32">
        <v>1</v>
      </c>
      <c r="K32" t="str">
        <v>宠物1 | 名称:大头 | 品种:可卡熊 | 性别:公 | 年龄:0.5 | 体重:2.6kg | 疫苗日期:2026-04-01 | 是否默认:是 | 状态:正常 | 创建时间:2026-06-02T19:17:13</v>
      </c>
      <c r="L32" t="str">
        <v/>
      </c>
      <c r="M32" t="str">
        <v/>
      </c>
    </row>
    <row r="33">
      <c r="A33" t="str">
        <v>QD20260602170137026</v>
      </c>
      <c r="B33">
        <v>40</v>
      </c>
      <c r="C33" t="str">
        <v>6月会员活动-夏日逃暑计划</v>
      </c>
      <c r="D33" t="str">
        <v>2026-06-06</v>
      </c>
      <c r="E33" t="str">
        <v>姜秋玮</v>
      </c>
      <c r="F33" t="str">
        <v>15057812568</v>
      </c>
      <c r="G33" t="str">
        <v>330702199810311221</v>
      </c>
      <c r="H33" t="str">
        <v>1人/1宠</v>
      </c>
      <c r="I33" t="str">
        <v/>
      </c>
      <c r="J33">
        <v>1</v>
      </c>
      <c r="K33" t="str">
        <v>宠物1 | 名称:姜来福 | 品种:雪纳瑞 | 性别:公 | 出生日期:2025-06-02 | 年龄:1 | 体重:5kg | 疫苗日期:2026-12-02 | 是否默认:是 | 状态:正常 | 创建时间:2026-06-02T17:01:33</v>
      </c>
      <c r="L33">
        <f>=IMAGE("https://tailtravel.cn/api/v1/files/static/images/202606/20260602_170037_f464270b.jpg?w=200&amp;q=75")</f>
      </c>
      <c r="M33" t="str">
        <v/>
      </c>
    </row>
    <row r="34">
      <c r="A34" t="str">
        <v>QD20260602155449354</v>
      </c>
      <c r="B34">
        <v>36</v>
      </c>
      <c r="C34" t="str">
        <v>6月会员活动-夏日逃暑计划</v>
      </c>
      <c r="D34" t="str">
        <v>2026-06-06</v>
      </c>
      <c r="E34" t="str">
        <v>冯巧云</v>
      </c>
      <c r="F34" t="str">
        <v>16637349612</v>
      </c>
      <c r="G34" t="str">
        <v>412723199510103440</v>
      </c>
      <c r="H34" t="str">
        <v>1人/1宠</v>
      </c>
      <c r="I34" t="str">
        <v/>
      </c>
      <c r="J34">
        <v>1</v>
      </c>
      <c r="K34" t="str">
        <v>宠物1 | 名称:糖葫芦 | 品种:比熊 | 性别:母 | 出生日期:2024-06-02 | 年龄:2 | 体重:6kg | 疫苗日期:2025-11-02 | 是否默认:是 | 状态:正常 | 创建时间:2026-06-02T15:54:45</v>
      </c>
      <c r="L34">
        <f>=IMAGE("https://tailtravel.cn/api/v1/files/static/images/202606/20260602_155412_28de70f0.jpg?w=200&amp;q=75")</f>
      </c>
      <c r="M34" t="str">
        <v/>
      </c>
    </row>
    <row r="35">
      <c r="A35" t="str">
        <v>QD20260602155312126</v>
      </c>
      <c r="B35">
        <v>33</v>
      </c>
      <c r="C35" t="str">
        <v>6月会员活动-夏日逃暑计划</v>
      </c>
      <c r="D35" t="str">
        <v>2026-06-06</v>
      </c>
      <c r="E35" t="str">
        <v>欧阳旭浩</v>
      </c>
      <c r="F35" t="str">
        <v>15216297323</v>
      </c>
      <c r="G35" t="str">
        <v>362430199702182318</v>
      </c>
      <c r="H35" t="str">
        <v>1人/1宠</v>
      </c>
      <c r="I35" t="str">
        <v/>
      </c>
      <c r="J35">
        <v>1</v>
      </c>
      <c r="K35" t="str">
        <v>宠物1 | 名称:露西 | 品种:马尔济斯 | 性别:母 | 年龄:0.8 | 体重:3kg | 疫苗日期:2026-03-01 | 是否默认:是 | 状态:正常 | 创建时间:2026-06-02T15:53:08</v>
      </c>
      <c r="L35">
        <f>=IMAGE("https://tailtravel.cn/api/v1/files/static/images/202606/20260602_155149_0b1d3bf3.jpg?w=200&amp;q=75")</f>
      </c>
      <c r="M35" t="str">
        <v/>
      </c>
    </row>
    <row r="36">
      <c r="A36" t="str">
        <v>QD20260602155120692</v>
      </c>
      <c r="B36">
        <v>34</v>
      </c>
      <c r="C36" t="str">
        <v>6月会员活动-夏日逃暑计划</v>
      </c>
      <c r="D36" t="str">
        <v>2026-06-06</v>
      </c>
      <c r="E36" t="str">
        <v>辛静</v>
      </c>
      <c r="F36" t="str">
        <v>18545095006</v>
      </c>
      <c r="G36" t="str">
        <v>230623199502120629</v>
      </c>
      <c r="H36" t="str">
        <v>1人/1宠</v>
      </c>
      <c r="I36" t="str">
        <v/>
      </c>
      <c r="J36">
        <v>1</v>
      </c>
      <c r="K36" t="str">
        <v>宠物1 | 名称:Yuki | 品种:美卡 | 性别:公 | 出生日期:2025-06-02 | 年龄:1 | 体重:10kg | 疫苗日期:2025-12-15 | 是否默认:是 | 状态:正常 | 创建时间:2026-06-02T15:51:10</v>
      </c>
      <c r="L36">
        <f>=IMAGE("https://tailtravel.cn/api/v1/files/static/images/202606/20260602_155035_6bfd1280.jpg?w=200&amp;q=75")</f>
      </c>
      <c r="M36" t="str">
        <v/>
      </c>
    </row>
    <row r="37">
      <c r="A37" t="str">
        <v>QD20260602154952991</v>
      </c>
      <c r="B37">
        <v>31</v>
      </c>
      <c r="C37" t="str">
        <v>6月会员活动-夏日逃暑计划</v>
      </c>
      <c r="D37" t="str">
        <v>2026-06-06</v>
      </c>
      <c r="E37" t="str">
        <v>徐艺玮</v>
      </c>
      <c r="F37" t="str">
        <v>19857101787</v>
      </c>
      <c r="G37" t="str">
        <v>330624200203080407</v>
      </c>
      <c r="H37" t="str">
        <v>1人/1宠</v>
      </c>
      <c r="I37" t="str">
        <v/>
      </c>
      <c r="J37">
        <v>1</v>
      </c>
      <c r="K37" t="str">
        <v>宠物1 | 名称:汉堡 | 品种:柯基 | 性别:公 | 出生日期:2024-06-02 | 年龄:2 | 体重:19kg | 疫苗日期:2026-04-29 | 是否默认:是 | 状态:正常 | 创建时间:2026-06-02T15:46:16</v>
      </c>
      <c r="L37" t="str">
        <v/>
      </c>
      <c r="M37" t="str">
        <v/>
      </c>
    </row>
    <row r="38">
      <c r="A38" t="str">
        <v>QD20260602153935090</v>
      </c>
      <c r="B38">
        <v>30</v>
      </c>
      <c r="C38" t="str">
        <v>6月会员活动-夏日逃暑计划</v>
      </c>
      <c r="D38" t="str">
        <v>2026-06-06</v>
      </c>
      <c r="E38" t="str">
        <v>张鸣轩</v>
      </c>
      <c r="F38" t="str">
        <v>13306437754</v>
      </c>
      <c r="G38" t="str">
        <v>370303200203137425</v>
      </c>
      <c r="H38" t="str">
        <v>1人/1宠</v>
      </c>
      <c r="I38" t="str">
        <v/>
      </c>
      <c r="J38">
        <v>1</v>
      </c>
      <c r="K38" t="str">
        <v>宠物1 | 名称:张马达 | 品种:比熊 | 性别:公 | 出生日期:2025-06-02 | 年龄:1 | 体重:3.5kg | 疫苗日期:2025-09-01 | 是否默认:是 | 状态:正常 | 创建时间:2026-06-02T15:39:29</v>
      </c>
      <c r="L38" t="str">
        <v/>
      </c>
      <c r="M38" t="str">
        <v/>
      </c>
    </row>
    <row r="39">
      <c r="A39" t="str">
        <v>QD20260602152942912</v>
      </c>
      <c r="B39">
        <v>27</v>
      </c>
      <c r="C39" t="str">
        <v>6月会员活动-夏日逃暑计划</v>
      </c>
      <c r="D39" t="str">
        <v>2026-06-06</v>
      </c>
      <c r="E39" t="str">
        <v>王燕</v>
      </c>
      <c r="F39" t="str">
        <v>13875467656</v>
      </c>
      <c r="G39" t="str">
        <v>432522200104253242</v>
      </c>
      <c r="H39" t="str">
        <v>1人/1宠</v>
      </c>
      <c r="I39" t="str">
        <v/>
      </c>
      <c r="J39">
        <v>1</v>
      </c>
      <c r="K39" t="str">
        <v>宠物1 | 名称:王壳壳 | 品种:虎斑 | 性别:母 | 年龄:2.5 | 体重:15kg | 疫苗日期:2026-05-30 | 是否默认:是 | 状态:正常 | 创建时间:2026-06-02T15:29:37</v>
      </c>
      <c r="L39">
        <f>=IMAGE("https://tailtravel.cn/api/v1/files/static/images/202606/20260602_152918_d4e61580.jpg?w=200&amp;q=75")</f>
      </c>
      <c r="M39" t="str">
        <v/>
      </c>
    </row>
    <row r="40">
      <c r="A40" t="str">
        <v>QD20260602152604928</v>
      </c>
      <c r="B40">
        <v>28</v>
      </c>
      <c r="C40" t="str">
        <v>6月会员活动-夏日逃暑计划</v>
      </c>
      <c r="D40" t="str">
        <v>2026-06-06</v>
      </c>
      <c r="E40" t="str">
        <v>毛其超</v>
      </c>
      <c r="F40" t="str">
        <v>18857018895</v>
      </c>
      <c r="G40" t="str">
        <v>33088119930912591X</v>
      </c>
      <c r="H40" t="str">
        <v>1人/1宠</v>
      </c>
      <c r="I40" t="str">
        <v/>
      </c>
      <c r="J40">
        <v>1</v>
      </c>
      <c r="K40" t="str">
        <v>宠物1 | 名称:葡萄 | 品种:金毛 | 性别:公 | 出生日期:2020-06-02 | 年龄:6 | 体重:30kg | 疫苗日期:2025-12-02 | 是否默认:是 | 状态:正常 | 创建时间:2026-06-02T15:25:55</v>
      </c>
      <c r="L40" t="str">
        <v/>
      </c>
      <c r="M40" t="str">
        <v/>
      </c>
    </row>
    <row r="41" xml:space="preserve">
      <c r="A41" t="str">
        <v>QD20260602150505831</v>
      </c>
      <c r="B41">
        <v>25</v>
      </c>
      <c r="C41" t="str">
        <v>6月会员活动-夏日逃暑计划</v>
      </c>
      <c r="D41" t="str">
        <v>2026-06-06</v>
      </c>
      <c r="E41" t="str">
        <v>杨红艳</v>
      </c>
      <c r="F41" t="str">
        <v>13655679961</v>
      </c>
      <c r="G41" t="str">
        <v>341622199512250929</v>
      </c>
      <c r="H41" t="str">
        <v>1人/2宠</v>
      </c>
      <c r="I41" t="str">
        <v/>
      </c>
      <c r="J41">
        <v>2</v>
      </c>
      <c r="K41" t="str" xml:space="preserve">
        <v xml:space="preserve">宠物1 | 名称:卢比 | 品种:雪纳瑞 | 性别:公 | 出生日期:2024-06-02 | 年龄:2 | 体重:7kg | 疫苗日期:2025-06-02 | 是否默认:是 | 状态:正常 | 创建时间:2026-06-02T15:05:00
宠物2 | 名称:羊毛卷 | 品种:比熊 | 性别:公 | 出生日期:2024-06-02 | 年龄:2 | 体重:6.5kg | 疫苗日期:2025-08-23 | 是否默认:否 | 状态:正常 | 创建时间:2026-06-02T15:04:40</v>
      </c>
      <c r="L41" t="str">
        <v/>
      </c>
      <c r="M41" t="str">
        <v/>
      </c>
    </row>
    <row r="42" xml:space="preserve">
      <c r="A42" t="str">
        <v>QD20260602142855784</v>
      </c>
      <c r="B42">
        <v>17</v>
      </c>
      <c r="C42" t="str">
        <v>6月会员活动-夏日逃暑计划</v>
      </c>
      <c r="D42" t="str">
        <v>2026-06-06</v>
      </c>
      <c r="E42" t="str">
        <v>帆帆</v>
      </c>
      <c r="F42" t="str">
        <v>18734729308</v>
      </c>
      <c r="G42" t="str">
        <v>142630200009171026</v>
      </c>
      <c r="H42" t="str">
        <v>1人/2宠</v>
      </c>
      <c r="I42" t="str">
        <v/>
      </c>
      <c r="J42">
        <v>2</v>
      </c>
      <c r="K42" t="str" xml:space="preserve">
        <v xml:space="preserve">宠物1 | 名称:豆 | 性别:公 | 出生日期:2024-06-02 | 年龄:2 | 疫苗日期:2026-06-02 | 是否默认:是 | 状态:正常 | 创建时间:2026-06-02T14:28:13
宠物2 | 名称:句句 | 性别:公 | 出生日期:2018-06-02 | 年龄:8 | 疫苗日期:2026-06-02 | 是否默认:否 | 状态:正常 | 创建时间:2026-06-02T14:27:58</v>
      </c>
      <c r="L42" t="str">
        <v/>
      </c>
      <c r="M42" t="str">
        <v/>
      </c>
    </row>
    <row r="43">
      <c r="A43" t="str">
        <v>QD20260602112825228</v>
      </c>
      <c r="B43">
        <v>20</v>
      </c>
      <c r="C43" t="str">
        <v>6月会员活动-狗狗寻宝记</v>
      </c>
      <c r="D43" t="str">
        <v>2026-06-06</v>
      </c>
      <c r="E43" t="str">
        <v>帆帆</v>
      </c>
      <c r="F43" t="str">
        <v>18734729308</v>
      </c>
      <c r="G43" t="str">
        <v>142630200009171026</v>
      </c>
      <c r="H43" t="str">
        <v>1人/1宠</v>
      </c>
      <c r="I43" t="str">
        <v/>
      </c>
      <c r="J43">
        <v>1</v>
      </c>
      <c r="K43" t="str">
        <v>宠物1 | 名称:豆 | 性别:公 | 出生日期:2025-06-02 | 年龄:1 | 疫苗日期:2026-06-02 | 是否默认:是 | 状态:正常 | 创建时间:2026-06-02T10:46:38</v>
      </c>
      <c r="L43">
        <f>=IMAGE("https://tailtravel.cn/api/v1/files/static/images/202606/20260602_104630_2ae17636.jpg?w=200&amp;q=75")</f>
      </c>
      <c r="M43" t="str">
        <v/>
      </c>
    </row>
    <row r="44">
      <c r="A44" t="str">
        <v>QD20260602104642720</v>
      </c>
      <c r="B44">
        <v>20</v>
      </c>
      <c r="C44" t="str">
        <v>6月会员活动-狗狗寻宝记</v>
      </c>
      <c r="D44" t="str">
        <v>2026-06-06</v>
      </c>
      <c r="E44" t="str">
        <v>帆帆</v>
      </c>
      <c r="F44" t="str">
        <v>18734729308</v>
      </c>
      <c r="G44" t="str">
        <v>142630200009171026</v>
      </c>
      <c r="H44" t="str">
        <v>1人/1宠</v>
      </c>
      <c r="I44" t="str">
        <v/>
      </c>
      <c r="J44">
        <v>1</v>
      </c>
      <c r="K44" t="str">
        <v>宠物1 | 名称:豆 | 性别:公 | 出生日期:2025-06-02 | 年龄:1 | 疫苗日期:2026-06-02 | 是否默认:是 | 状态:正常 | 创建时间:2026-06-02T10:46:38</v>
      </c>
      <c r="L44">
        <f>=IMAGE("https://tailtravel.cn/api/v1/files/static/images/202606/20260602_104630_2ae17636.jpg?w=200&amp;q=75")</f>
      </c>
      <c r="M44" t="str">
        <v/>
      </c>
    </row>
    <row r="45">
      <c r="A45" t="str">
        <v>QD20260602104403662</v>
      </c>
      <c r="B45">
        <v>18</v>
      </c>
      <c r="C45" t="str">
        <v>6月会员活动-狗狗寻宝记</v>
      </c>
      <c r="D45" t="str">
        <v>2026-06-06</v>
      </c>
      <c r="E45" t="str">
        <v>帆帆</v>
      </c>
      <c r="F45" t="str">
        <v>18734729308</v>
      </c>
      <c r="G45" t="str">
        <v>142630200009171026</v>
      </c>
      <c r="H45" t="str">
        <v>1人/1宠</v>
      </c>
      <c r="I45" t="str">
        <v/>
      </c>
      <c r="J45">
        <v>1</v>
      </c>
      <c r="K45" t="str">
        <v>宠物1 | 名称:豆豆 | 性别:公 | 出生日期:2025-06-01 | 年龄:1 | 疫苗日期:2026-06-01 | 是否默认:是 | 状态:正常 | 创建时间:2026-06-01T20:24:39</v>
      </c>
      <c r="L45">
        <f>=IMAGE("https://tailtravel.cn/api/v1/files/static/images/202606/20260601_202505_f3593494.jpg?w=200&amp;q=75")</f>
      </c>
      <c r="M45" t="str">
        <v/>
      </c>
    </row>
    <row r="46">
      <c r="A46" t="str">
        <v>QD20260601233234098</v>
      </c>
      <c r="B46">
        <v>7</v>
      </c>
      <c r="C46" t="str">
        <v>6月会员活动-狗狗寻宝记</v>
      </c>
      <c r="D46" t="str">
        <v>2026-06-06</v>
      </c>
      <c r="E46" t="str">
        <v>苏苏</v>
      </c>
      <c r="F46" t="str">
        <v>15364529785</v>
      </c>
      <c r="G46" t="str">
        <v>331023199205277023</v>
      </c>
      <c r="H46" t="str">
        <v>1人/1宠</v>
      </c>
      <c r="I46" t="str">
        <v/>
      </c>
      <c r="J46">
        <v>1</v>
      </c>
      <c r="K46" t="str">
        <v>宠物1 | 名称:豆 | 性别:公 | 出生日期:2025-06-01 | 年龄:1 | 疫苗日期:2026-05-27 | 是否默认:是 | 状态:正常 | 创建时间:2026-05-27T15:49:05</v>
      </c>
      <c r="L46">
        <f>=IMAGE("https://tailtravel.cn/api/v1/files/static/images/202605/20260530_153724_09cb6cb8.jpg?w=200&amp;q=75")</f>
      </c>
      <c r="M46" t="str">
        <v/>
      </c>
    </row>
    <row r="47">
      <c r="A47" t="str">
        <v>QD20260601203515337</v>
      </c>
      <c r="B47">
        <v>18</v>
      </c>
      <c r="C47" t="str">
        <v>6月会员活动-狗狗寻宝记</v>
      </c>
      <c r="D47" t="str">
        <v>2026-06-06</v>
      </c>
      <c r="E47" t="str">
        <v>帆帆</v>
      </c>
      <c r="F47" t="str">
        <v>18734729308</v>
      </c>
      <c r="G47" t="str">
        <v>142630200009171026</v>
      </c>
      <c r="H47" t="str">
        <v>1人/1宠</v>
      </c>
      <c r="I47" t="str">
        <v/>
      </c>
      <c r="J47">
        <v>1</v>
      </c>
      <c r="K47" t="str">
        <v>宠物1 | 名称:豆豆 | 性别:公 | 出生日期:2025-06-01 | 年龄:1 | 疫苗日期:2026-06-01 | 是否默认:是 | 状态:正常 | 创建时间:2026-06-01T20:24:39</v>
      </c>
      <c r="L47">
        <f>=IMAGE("https://tailtravel.cn/api/v1/files/static/images/202606/20260601_202505_f3593494.jpg?w=200&amp;q=75")</f>
      </c>
      <c r="M47" t="str">
        <v/>
      </c>
    </row>
    <row r="48">
      <c r="A48" t="str">
        <v>QD20260601202510903</v>
      </c>
      <c r="B48">
        <v>18</v>
      </c>
      <c r="C48" t="str">
        <v>6月会员活动-狗狗寻宝记</v>
      </c>
      <c r="D48" t="str">
        <v>2026-06-06</v>
      </c>
      <c r="E48" t="str">
        <v>帆帆</v>
      </c>
      <c r="F48" t="str">
        <v>18734729308</v>
      </c>
      <c r="G48" t="str">
        <v>142630200009171026</v>
      </c>
      <c r="H48" t="str">
        <v>1人/1宠</v>
      </c>
      <c r="I48" t="str">
        <v/>
      </c>
      <c r="J48">
        <v>1</v>
      </c>
      <c r="K48" t="str">
        <v>宠物1 | 名称:豆豆 | 性别:公 | 出生日期:2025-06-01 | 年龄:1 | 疫苗日期:2026-06-01 | 是否默认:是 | 状态:正常 | 创建时间:2026-06-01T20:24:39</v>
      </c>
      <c r="L48">
        <f>=IMAGE("https://tailtravel.cn/api/v1/files/static/images/202606/20260601_202505_f3593494.jpg?w=200&amp;q=75")</f>
      </c>
      <c r="M48" t="str">
        <v/>
      </c>
    </row>
    <row r="49">
      <c r="A49" t="str">
        <v>QD20260601181543369</v>
      </c>
      <c r="B49">
        <v>7</v>
      </c>
      <c r="C49" t="str">
        <v>6月会员活动-狗狗寻宝记</v>
      </c>
      <c r="D49" t="str">
        <v>2026-06-06</v>
      </c>
      <c r="E49" t="str">
        <v>苏苏</v>
      </c>
      <c r="F49" t="str">
        <v>15364529785</v>
      </c>
      <c r="G49" t="str">
        <v>331023199205277023</v>
      </c>
      <c r="H49" t="str">
        <v>2人/1宠</v>
      </c>
      <c r="I49" t="str">
        <v>贺新帆 / 18734729301 / 142630200009171026</v>
      </c>
      <c r="J49">
        <v>1</v>
      </c>
      <c r="K49" t="str">
        <v>宠物1 | 名称:豆 | 性别:公 | 出生日期:2025-06-01 | 年龄:1 | 疫苗日期:2026-05-27 | 是否默认:是 | 状态:正常 | 创建时间:2026-05-27T15:49:05</v>
      </c>
      <c r="L49">
        <f>=IMAGE("https://tailtravel.cn/api/v1/files/static/images/202605/20260530_153724_09cb6cb8.jpg?w=200&amp;q=75")</f>
      </c>
      <c r="M49" t="str">
        <v/>
      </c>
    </row>
    <row r="50">
      <c r="A50" t="str">
        <v>QD20260601180056978</v>
      </c>
      <c r="B50">
        <v>7</v>
      </c>
      <c r="C50" t="str">
        <v>6月会员活动-狗狗寻宝记</v>
      </c>
      <c r="D50" t="str">
        <v>2026-06-06</v>
      </c>
      <c r="E50" t="str">
        <v>苏苏</v>
      </c>
      <c r="F50" t="str">
        <v>15364529785</v>
      </c>
      <c r="G50" t="str">
        <v>331023199205277023</v>
      </c>
      <c r="H50" t="str">
        <v>2人/1宠</v>
      </c>
      <c r="I50" t="str">
        <v>贺新帆 / 18734729301 / 142630200009171026</v>
      </c>
      <c r="J50">
        <v>1</v>
      </c>
      <c r="K50" t="str">
        <v>宠物1 | 名称:豆 | 性别:母 | 出生日期:2025-06-01 | 年龄:1 | 疫苗日期:2026-05-27 | 是否默认:是 | 状态:正常 | 创建时间:2026-05-27T15:49:05</v>
      </c>
      <c r="L50">
        <f>=IMAGE("https://tailtravel.cn/api/v1/files/static/images/202605/20260530_153724_09cb6cb8.jpg?w=200&amp;q=75")</f>
      </c>
      <c r="M50" t="str">
        <v/>
      </c>
    </row>
    <row r="51">
      <c r="A51" t="str">
        <v>QD20260601173357467</v>
      </c>
      <c r="B51">
        <v>7</v>
      </c>
      <c r="C51" t="str">
        <v>6月会员活动-狗狗寻宝记</v>
      </c>
      <c r="D51" t="str">
        <v>2026-06-06</v>
      </c>
      <c r="E51" t="str">
        <v>苏苏</v>
      </c>
      <c r="F51" t="str">
        <v>15364529785</v>
      </c>
      <c r="G51" t="str">
        <v>331023199205277023</v>
      </c>
      <c r="H51" t="str">
        <v>1人/1宠</v>
      </c>
      <c r="I51" t="str">
        <v/>
      </c>
      <c r="J51">
        <v>1</v>
      </c>
      <c r="K51" t="str">
        <v>宠物1 | 名称:豆 | 性别:母 | 出生日期:2025-06-01 | 年龄:1 | 疫苗日期:2026-05-27 | 是否默认:是 | 状态:正常 | 创建时间:2026-05-27T15:49:05</v>
      </c>
      <c r="L51">
        <f>=IMAGE("https://tailtravel.cn/api/v1/files/static/images/202605/20260530_153724_09cb6cb8.jpg?w=200&amp;q=75")</f>
      </c>
      <c r="M51" t="str">
        <v/>
      </c>
    </row>
    <row r="52">
      <c r="A52" t="str">
        <v>QD20260608175610810</v>
      </c>
      <c r="B52">
        <v>1</v>
      </c>
      <c r="C52" t="str">
        <v>6月会员活动-夏日逃暑计划</v>
      </c>
      <c r="D52" t="str">
        <v>2026-06-07</v>
      </c>
      <c r="E52" t="str">
        <v>Test</v>
      </c>
      <c r="F52" t="str">
        <v>13800138000</v>
      </c>
      <c r="G52" t="str">
        <v/>
      </c>
      <c r="H52" t="str">
        <v>2人/1宠</v>
      </c>
      <c r="I52" t="str">
        <v>Test / 13800138000</v>
      </c>
      <c r="J52">
        <v>1</v>
      </c>
      <c r="K52" t="str">
        <v>宠物1 | 名称:Dog | 品种:Golden | 性别:公 | 体重:20kg | 是否默认:否 | 状态:正常</v>
      </c>
      <c r="L52" t="str">
        <v/>
      </c>
      <c r="M52" t="str">
        <v/>
      </c>
    </row>
    <row r="53">
      <c r="A53" t="str">
        <v>QD20260607081129944</v>
      </c>
      <c r="B53">
        <v>79</v>
      </c>
      <c r="C53" t="str">
        <v>6月会员活动-夏日逃暑计划</v>
      </c>
      <c r="D53" t="str">
        <v>2026-06-07</v>
      </c>
      <c r="E53" t="str">
        <v>程晋蕾</v>
      </c>
      <c r="F53" t="str">
        <v>13858011678</v>
      </c>
      <c r="G53" t="str">
        <v>330881200209282729</v>
      </c>
      <c r="H53" t="str">
        <v>1人/1宠</v>
      </c>
      <c r="I53" t="str">
        <v/>
      </c>
      <c r="J53">
        <v>1</v>
      </c>
      <c r="K53" t="str">
        <v>宠物1 | 名称:饺子 | 品种:金毛 | 性别:母 | 出生日期:2025-06-06 | 年龄:1 | 体重:35kg | 疫苗日期:2025-08-20 | 是否默认:是 | 状态:正常 | 创建时间:2026-06-06T21:58:54</v>
      </c>
      <c r="L53" t="str">
        <v/>
      </c>
      <c r="M53" t="str">
        <v/>
      </c>
    </row>
    <row r="54">
      <c r="A54" t="str">
        <v>QD20260606215901635</v>
      </c>
      <c r="B54">
        <v>79</v>
      </c>
      <c r="C54" t="str">
        <v>6月会员活动-夏日逃暑计划</v>
      </c>
      <c r="D54" t="str">
        <v>2026-06-07</v>
      </c>
      <c r="E54" t="str">
        <v>程晋蕾</v>
      </c>
      <c r="F54" t="str">
        <v>13858011678</v>
      </c>
      <c r="G54" t="str">
        <v>330881200209282729</v>
      </c>
      <c r="H54" t="str">
        <v>1人/1宠</v>
      </c>
      <c r="I54" t="str">
        <v/>
      </c>
      <c r="J54">
        <v>1</v>
      </c>
      <c r="K54" t="str">
        <v>宠物1 | 名称:饺子 | 品种:金毛 | 性别:母 | 出生日期:2025-06-06 | 年龄:1 | 体重:35kg | 疫苗日期:2025-08-20 | 是否默认:是 | 状态:正常 | 创建时间:2026-06-06T21:58:54</v>
      </c>
      <c r="L54" t="str">
        <v/>
      </c>
      <c r="M54" t="str">
        <v/>
      </c>
    </row>
    <row r="55">
      <c r="A55" t="str">
        <v>QD20260606204505027</v>
      </c>
      <c r="B55">
        <v>76</v>
      </c>
      <c r="C55" t="str">
        <v>6月会员活动-夏日逃暑计划</v>
      </c>
      <c r="D55" t="str">
        <v>2026-06-07</v>
      </c>
      <c r="E55" t="str">
        <v>刘洋</v>
      </c>
      <c r="F55" t="str">
        <v>18280927391</v>
      </c>
      <c r="G55" t="str">
        <v>511011200107287811</v>
      </c>
      <c r="H55" t="str">
        <v>1人/1宠</v>
      </c>
      <c r="I55" t="str">
        <v/>
      </c>
      <c r="J55">
        <v>1</v>
      </c>
      <c r="K55" t="str">
        <v>宠物1 | 名称:钢镚 | 品种:金毛 | 性别:母 | 出生日期:2023-06-06 | 年龄:3 | 体重:60kg | 疫苗日期:2025-08-06 | 是否默认:是 | 状态:正常 | 创建时间:2026-06-06T17:15:01</v>
      </c>
      <c r="L55">
        <f>=IMAGE("https://tailtravel.cn/api/v1/files/static/images/202606/20260606_171328_3d1751ad.jpg?w=200&amp;q=75")</f>
      </c>
      <c r="M55" t="str">
        <v/>
      </c>
    </row>
    <row r="56">
      <c r="A56" t="str">
        <v>QD20260606204450726</v>
      </c>
      <c r="B56">
        <v>76</v>
      </c>
      <c r="C56" t="str">
        <v>6月会员活动-夏日逃暑计划</v>
      </c>
      <c r="D56" t="str">
        <v>2026-06-07</v>
      </c>
      <c r="E56" t="str">
        <v>刘洋</v>
      </c>
      <c r="F56" t="str">
        <v>18280927391</v>
      </c>
      <c r="G56" t="str">
        <v>511011200107287811</v>
      </c>
      <c r="H56" t="str">
        <v>1人/1宠</v>
      </c>
      <c r="I56" t="str">
        <v/>
      </c>
      <c r="J56">
        <v>1</v>
      </c>
      <c r="K56" t="str">
        <v>宠物1 | 名称:钢镚 | 品种:金毛 | 性别:母 | 出生日期:2023-06-06 | 年龄:3 | 体重:60kg | 疫苗日期:2025-08-06 | 是否默认:是 | 状态:正常 | 创建时间:2026-06-06T17:15:01</v>
      </c>
      <c r="L56">
        <f>=IMAGE("https://tailtravel.cn/api/v1/files/static/images/202606/20260606_171328_3d1751ad.jpg?w=200&amp;q=75")</f>
      </c>
      <c r="M56" t="str">
        <v/>
      </c>
    </row>
    <row r="57">
      <c r="A57" t="str">
        <v>QD20260606200811466</v>
      </c>
      <c r="B57">
        <v>71</v>
      </c>
      <c r="C57" t="str">
        <v>6月会员活动-夏日逃暑计划</v>
      </c>
      <c r="D57" t="str">
        <v>2026-06-07</v>
      </c>
      <c r="E57" t="str">
        <v>帆帆</v>
      </c>
      <c r="F57" t="str">
        <v>18734729308</v>
      </c>
      <c r="G57" t="str">
        <v>142630200009171026</v>
      </c>
      <c r="H57" t="str">
        <v>1人/1宠</v>
      </c>
      <c r="I57" t="str">
        <v/>
      </c>
      <c r="J57">
        <v>1</v>
      </c>
      <c r="K57" t="str">
        <v>宠物1 | 名称:豆豆 | 性别:公 | 出生日期:2025-06-06 | 年龄:1 | 疫苗日期:2026-06-06 | 是否默认:是 | 状态:正常 | 创建时间:2026-06-06T20:08:07</v>
      </c>
      <c r="L57" t="str">
        <v/>
      </c>
      <c r="M57" t="str">
        <v/>
      </c>
    </row>
    <row r="58">
      <c r="A58" t="str">
        <v>QD20260606171359122</v>
      </c>
      <c r="B58">
        <v>75</v>
      </c>
      <c r="C58" t="str">
        <v>6月会员活动-夏日逃暑计划</v>
      </c>
      <c r="D58" t="str">
        <v>2026-06-07</v>
      </c>
      <c r="E58" t="str">
        <v>张亮</v>
      </c>
      <c r="F58" t="str">
        <v>15046899297</v>
      </c>
      <c r="G58" t="str">
        <v>230621200007140473</v>
      </c>
      <c r="H58" t="str">
        <v>1人/1宠</v>
      </c>
      <c r="I58" t="str">
        <v/>
      </c>
      <c r="J58">
        <v>1</v>
      </c>
      <c r="K58" t="str">
        <v>宠物1 | 名称:小七 | 品种:边牧 | 性别:公 | 出生日期:2024-06-06 | 年龄:2 | 体重:17kg | 疫苗日期:2026-04-04 | 是否默认:是 | 状态:正常 | 创建时间:2026-06-06T17:11:36</v>
      </c>
      <c r="L58">
        <f>=IMAGE("https://tailtravel.cn/api/v1/files/static/images/202606/20260606_171105_c5908b3a.jpg?w=200&amp;q=75")</f>
      </c>
      <c r="M58" t="str">
        <v/>
      </c>
    </row>
    <row r="59">
      <c r="A59" t="str">
        <v>QD20260606171151381</v>
      </c>
      <c r="B59">
        <v>75</v>
      </c>
      <c r="C59" t="str">
        <v>6月会员活动-夏日逃暑计划</v>
      </c>
      <c r="D59" t="str">
        <v>2026-06-07</v>
      </c>
      <c r="E59" t="str">
        <v>武欣月</v>
      </c>
      <c r="F59" t="str">
        <v>15046899297</v>
      </c>
      <c r="G59" t="str">
        <v>230621200008303983</v>
      </c>
      <c r="H59" t="str">
        <v>1人/1宠</v>
      </c>
      <c r="I59" t="str">
        <v/>
      </c>
      <c r="J59">
        <v>1</v>
      </c>
      <c r="K59" t="str">
        <v>宠物1 | 名称:小七 | 品种:边牧 | 性别:公 | 出生日期:2024-06-06 | 年龄:2 | 体重:17kg | 疫苗日期:2026-04-04 | 是否默认:是 | 状态:正常 | 创建时间:2026-06-06T17:11:36</v>
      </c>
      <c r="L59">
        <f>=IMAGE("https://tailtravel.cn/api/v1/files/static/images/202606/20260606_171105_c5908b3a.jpg?w=200&amp;q=75")</f>
      </c>
      <c r="M59" t="str">
        <v/>
      </c>
    </row>
    <row r="60">
      <c r="A60" t="str">
        <v>QD20260604192915981</v>
      </c>
      <c r="B60">
        <v>55</v>
      </c>
      <c r="C60" t="str">
        <v>6月会员活动-夏日逃暑计划</v>
      </c>
      <c r="D60" t="str">
        <v>2026-06-07</v>
      </c>
      <c r="E60" t="str">
        <v>王佳琦</v>
      </c>
      <c r="F60" t="str">
        <v>17280799998</v>
      </c>
      <c r="G60" t="str">
        <v>211302200208052826</v>
      </c>
      <c r="H60" t="str">
        <v>1人/1宠</v>
      </c>
      <c r="I60" t="str">
        <v/>
      </c>
      <c r="J60">
        <v>1</v>
      </c>
      <c r="K60" t="str">
        <v>宠物1 | 名称:三花 | 品种:边境牧羊犬 | 性别:母 | 出生日期:2025-06-04 | 年龄:1 | 体重:19.2kg | 疫苗日期:2025-12-02 | 是否默认:是 | 状态:正常 | 创建时间:2026-06-04T19:29:12</v>
      </c>
      <c r="L60">
        <f>=IMAGE("https://tailtravel.cn/api/v1/files/static/images/202606/20260604_192850_dcb9cc89.jpg?w=200&amp;q=75")</f>
      </c>
      <c r="M60" t="str">
        <v/>
      </c>
    </row>
    <row r="61">
      <c r="A61" t="str">
        <v>QD20260604192720192</v>
      </c>
      <c r="B61">
        <v>54</v>
      </c>
      <c r="C61" t="str">
        <v>6月会员活动-夏日逃暑计划</v>
      </c>
      <c r="D61" t="str">
        <v>2026-06-07</v>
      </c>
      <c r="E61" t="str">
        <v>胡含菲</v>
      </c>
      <c r="F61" t="str">
        <v>13148486632</v>
      </c>
      <c r="G61" t="str">
        <v>429006200410247921</v>
      </c>
      <c r="H61" t="str">
        <v>1人/1宠</v>
      </c>
      <c r="I61" t="str">
        <v/>
      </c>
      <c r="J61">
        <v>1</v>
      </c>
      <c r="K61" t="str">
        <v>宠物1 | 名称:雪碧 | 品种:萨摩 | 性别:公 | 出生日期:2021-06-04 | 年龄:5 | 体重:22kg | 疫苗日期:2025-04-12 | 是否默认:是 | 状态:正常 | 创建时间:2026-06-04T19:20:16</v>
      </c>
      <c r="L61" t="str">
        <v/>
      </c>
      <c r="M61" t="str">
        <v/>
      </c>
    </row>
    <row r="62">
      <c r="A62" t="str">
        <v>QD20260604180141214</v>
      </c>
      <c r="B62">
        <v>53</v>
      </c>
      <c r="C62" t="str">
        <v>6月会员活动-夏日逃暑计划</v>
      </c>
      <c r="D62" t="str">
        <v>2026-06-07</v>
      </c>
      <c r="E62" t="str">
        <v>阮颜硕</v>
      </c>
      <c r="F62" t="str">
        <v>19012800120</v>
      </c>
      <c r="G62" t="str">
        <v>341522200705176163</v>
      </c>
      <c r="H62" t="str">
        <v>1人/1宠</v>
      </c>
      <c r="I62" t="str">
        <v/>
      </c>
      <c r="J62">
        <v>1</v>
      </c>
      <c r="K62" t="str">
        <v>宠物1 | 名称:椰子 | 品种:陨石边牧 | 性别:母 | 出生日期:2025-06-04 | 年龄:1 | 体重:14.5kg | 疫苗日期:2026-01-15 | 是否默认:否 | 状态:正常 | 创建时间:2026-06-04T18:01:29</v>
      </c>
      <c r="L62">
        <f>=IMAGE("https://tailtravel.cn/api/v1/files/static/images/202606/20260604_180043_327de0d2.jpg?w=200&amp;q=75")</f>
      </c>
      <c r="M62" t="str">
        <v/>
      </c>
    </row>
    <row r="63">
      <c r="A63" t="str">
        <v>QD20260604175449579</v>
      </c>
      <c r="B63">
        <v>53</v>
      </c>
      <c r="C63" t="str">
        <v>6月会员活动-夏日逃暑计划</v>
      </c>
      <c r="D63" t="str">
        <v>2026-06-07</v>
      </c>
      <c r="E63" t="str">
        <v>阮颜硕</v>
      </c>
      <c r="F63" t="str">
        <v>19012800120</v>
      </c>
      <c r="G63" t="str">
        <v>341522200705176163</v>
      </c>
      <c r="H63" t="str">
        <v>1人/1宠</v>
      </c>
      <c r="I63" t="str">
        <v/>
      </c>
      <c r="J63">
        <v>1</v>
      </c>
      <c r="K63" t="str">
        <v>宠物1 | 名称:嘟嘟 | 品种:边牧 | 性别:公 | 出生日期:2023-06-04 | 年龄:3 | 体重:16kg | 疫苗日期:2024-05-20 | 是否默认:是 | 状态:正常 | 创建时间:2026-06-04T17:54:25</v>
      </c>
      <c r="L63" t="str">
        <v/>
      </c>
      <c r="M63" t="str">
        <v/>
      </c>
    </row>
    <row r="64">
      <c r="A64" t="str">
        <v>QD20260603224528236</v>
      </c>
      <c r="B64">
        <v>7</v>
      </c>
      <c r="C64" t="str">
        <v>OMG心跳乐园一日游</v>
      </c>
      <c r="D64" t="str">
        <v>2026-06-07</v>
      </c>
      <c r="E64" t="str">
        <v>苏苏</v>
      </c>
      <c r="F64" t="str">
        <v>15364529785</v>
      </c>
      <c r="G64" t="str">
        <v>331023199205277023</v>
      </c>
      <c r="H64" t="str">
        <v>1人/1宠</v>
      </c>
      <c r="I64" t="str">
        <v/>
      </c>
      <c r="J64">
        <v>1</v>
      </c>
      <c r="K64" t="str">
        <v>宠物1 | 名称:豆 | 性别:公 | 出生日期:2025-06-01 | 年龄:1 | 疫苗日期:2026-05-27 | 是否默认:是 | 状态:正常 | 创建时间:2026-05-27T15:49:05</v>
      </c>
      <c r="L64">
        <f>=IMAGE("https://tailtravel.cn/api/v1/files/static/images/202605/20260530_153724_09cb6cb8.jpg?w=200&amp;q=75")</f>
      </c>
      <c r="M64" t="str">
        <v/>
      </c>
    </row>
    <row r="65">
      <c r="A65" t="str">
        <v>QD20260603224125802</v>
      </c>
      <c r="B65">
        <v>7</v>
      </c>
      <c r="C65" t="str">
        <v>6月会员活动-夏日逃暑计划</v>
      </c>
      <c r="D65" t="str">
        <v>2026-06-07</v>
      </c>
      <c r="E65" t="str">
        <v>苏苏</v>
      </c>
      <c r="F65" t="str">
        <v>15364529785</v>
      </c>
      <c r="G65" t="str">
        <v>331023199205277023</v>
      </c>
      <c r="H65" t="str">
        <v>1人/1宠</v>
      </c>
      <c r="I65" t="str">
        <v/>
      </c>
      <c r="J65">
        <v>1</v>
      </c>
      <c r="K65" t="str">
        <v>宠物1 | 名称:豆 | 性别:公 | 出生日期:2025-06-01 | 年龄:1 | 疫苗日期:2026-05-27 | 是否默认:是 | 状态:正常 | 创建时间:2026-05-27T15:49:05</v>
      </c>
      <c r="L65">
        <f>=IMAGE("https://tailtravel.cn/api/v1/files/static/images/202605/20260530_153724_09cb6cb8.jpg?w=200&amp;q=75")</f>
      </c>
      <c r="M65" t="str">
        <v/>
      </c>
    </row>
    <row r="66">
      <c r="A66" t="str">
        <v>QD20260603224104129</v>
      </c>
      <c r="B66">
        <v>7</v>
      </c>
      <c r="C66" t="str">
        <v>6月会员活动-夏日逃暑计划</v>
      </c>
      <c r="D66" t="str">
        <v>2026-06-07</v>
      </c>
      <c r="E66" t="str">
        <v>苏苏</v>
      </c>
      <c r="F66" t="str">
        <v>15364529785</v>
      </c>
      <c r="G66" t="str">
        <v>331023199205277023</v>
      </c>
      <c r="H66" t="str">
        <v>1人/1宠</v>
      </c>
      <c r="I66" t="str">
        <v/>
      </c>
      <c r="J66">
        <v>1</v>
      </c>
      <c r="K66" t="str">
        <v>宠物1 | 名称:豆 | 性别:公 | 出生日期:2025-06-01 | 年龄:1 | 疫苗日期:2026-05-27 | 是否默认:是 | 状态:正常 | 创建时间:2026-05-27T15:49:05</v>
      </c>
      <c r="L66">
        <f>=IMAGE("https://tailtravel.cn/api/v1/files/static/images/202605/20260530_153724_09cb6cb8.jpg?w=200&amp;q=75")</f>
      </c>
      <c r="M66" t="str">
        <v/>
      </c>
    </row>
    <row r="67">
      <c r="A67" t="str">
        <v>QD20260603224055059</v>
      </c>
      <c r="B67">
        <v>7</v>
      </c>
      <c r="C67" t="str">
        <v>6月会员活动-夏日逃暑计划</v>
      </c>
      <c r="D67" t="str">
        <v>2026-06-07</v>
      </c>
      <c r="E67" t="str">
        <v>苏苏</v>
      </c>
      <c r="F67" t="str">
        <v>15364529785</v>
      </c>
      <c r="G67" t="str">
        <v>331023199205277023</v>
      </c>
      <c r="H67" t="str">
        <v>1人/1宠</v>
      </c>
      <c r="I67" t="str">
        <v/>
      </c>
      <c r="J67">
        <v>1</v>
      </c>
      <c r="K67" t="str">
        <v>宠物1 | 名称:豆 | 性别:公 | 出生日期:2025-06-01 | 年龄:1 | 疫苗日期:2026-05-27 | 是否默认:是 | 状态:正常 | 创建时间:2026-05-27T15:49:05</v>
      </c>
      <c r="L67">
        <f>=IMAGE("https://tailtravel.cn/api/v1/files/static/images/202605/20260530_153724_09cb6cb8.jpg?w=200&amp;q=75")</f>
      </c>
      <c r="M67" t="str">
        <v/>
      </c>
    </row>
    <row r="68">
      <c r="A68" t="str">
        <v>QD20260603171329349</v>
      </c>
      <c r="B68">
        <v>46</v>
      </c>
      <c r="C68" t="str">
        <v>6月会员活动-夏日逃暑计划</v>
      </c>
      <c r="D68" t="str">
        <v>2026-06-07</v>
      </c>
      <c r="E68" t="str">
        <v>魏亚倩</v>
      </c>
      <c r="F68" t="str">
        <v>15382349943</v>
      </c>
      <c r="G68" t="str">
        <v>622722199701102427</v>
      </c>
      <c r="H68" t="str">
        <v>1人/1宠</v>
      </c>
      <c r="I68" t="str">
        <v/>
      </c>
      <c r="J68">
        <v>1</v>
      </c>
      <c r="K68" t="str">
        <v>宠物1 | 名称:wifi | 品种:边境牧羊犬 | 性别:公 | 出生日期:2025-06-03 | 年龄:1 | 体重:33kg | 疫苗日期:2026-05-16 | 是否默认:是 | 状态:正常 | 创建时间:2026-06-03T17:13:25</v>
      </c>
      <c r="L68">
        <f>=IMAGE("https://tailtravel.cn/api/v1/files/static/images/202606/20260603_171241_c78f6586.jpg?w=200&amp;q=75")</f>
      </c>
      <c r="M68" t="str">
        <v/>
      </c>
    </row>
    <row r="69">
      <c r="A69" t="str">
        <v>QD20260603104311801</v>
      </c>
      <c r="B69">
        <v>33</v>
      </c>
      <c r="C69" t="str">
        <v>6月会员活动-夏日逃暑计划</v>
      </c>
      <c r="D69" t="str">
        <v>2026-06-07</v>
      </c>
      <c r="E69" t="str">
        <v>欧阳旭浩</v>
      </c>
      <c r="F69" t="str">
        <v>15216297323</v>
      </c>
      <c r="G69" t="str">
        <v>362430199702182318</v>
      </c>
      <c r="H69" t="str">
        <v>1人/1宠</v>
      </c>
      <c r="I69" t="str">
        <v/>
      </c>
      <c r="J69">
        <v>1</v>
      </c>
      <c r="K69" t="str">
        <v>宠物1 | 名称:露西 | 品种:马尔济斯 | 性别:母 | 年龄:0.8 | 体重:3kg | 疫苗日期:2026-03-01 | 是否默认:是 | 状态:正常 | 创建时间:2026-06-02T15:53:08</v>
      </c>
      <c r="L69">
        <f>=IMAGE("https://tailtravel.cn/api/v1/files/static/images/202606/20260602_155149_0b1d3bf3.jpg?w=200&amp;q=75")</f>
      </c>
      <c r="M69" t="str">
        <v/>
      </c>
    </row>
    <row r="70">
      <c r="A70" t="str">
        <v>QD20260602212713416</v>
      </c>
      <c r="B70">
        <v>7</v>
      </c>
      <c r="C70" t="str">
        <v>6月会员活动-夏日逃暑计划</v>
      </c>
      <c r="D70" t="str">
        <v>2026-06-07</v>
      </c>
      <c r="E70" t="str">
        <v>苏苏</v>
      </c>
      <c r="F70" t="str">
        <v>15364529785</v>
      </c>
      <c r="G70" t="str">
        <v>331023199205277023</v>
      </c>
      <c r="H70" t="str">
        <v>1人/1宠</v>
      </c>
      <c r="I70" t="str">
        <v/>
      </c>
      <c r="J70">
        <v>1</v>
      </c>
      <c r="K70" t="str">
        <v>宠物1 | 名称:豆 | 性别:公 | 出生日期:2025-06-01 | 年龄:1 | 疫苗日期:2026-05-27 | 是否默认:是 | 状态:正常 | 创建时间:2026-05-27T15:49:05</v>
      </c>
      <c r="L70">
        <f>=IMAGE("https://tailtravel.cn/api/v1/files/static/images/202605/20260530_153724_09cb6cb8.jpg?w=200&amp;q=75")</f>
      </c>
      <c r="M70" t="str">
        <v/>
      </c>
    </row>
    <row r="71">
      <c r="A71" t="str">
        <v>QD20260602185350287</v>
      </c>
      <c r="B71">
        <v>43</v>
      </c>
      <c r="C71" t="str">
        <v>6月会员活动-夏日逃暑计划</v>
      </c>
      <c r="D71" t="str">
        <v>2026-06-07</v>
      </c>
      <c r="E71" t="str">
        <v>许梅杰</v>
      </c>
      <c r="F71" t="str">
        <v>18604585255</v>
      </c>
      <c r="G71" t="str">
        <v>239005200308171527</v>
      </c>
      <c r="H71" t="str">
        <v>1人/1宠</v>
      </c>
      <c r="I71" t="str">
        <v/>
      </c>
      <c r="J71">
        <v>1</v>
      </c>
      <c r="K71" t="str">
        <v>宠物1 | 名称:喜洋洋 | 品种:萨摩耶 | 性别:母 | 年龄:1岁8个月 | 体重:20kg | 疫苗日期:2025-06-02 | 是否默认:是 | 状态:正常 | 创建时间:2026-06-02T18:53:45</v>
      </c>
      <c r="L71" t="str">
        <v/>
      </c>
      <c r="M71" t="str">
        <v/>
      </c>
    </row>
    <row r="72" xml:space="preserve">
      <c r="A72" t="str">
        <v>QD20260602184633833</v>
      </c>
      <c r="B72">
        <v>42</v>
      </c>
      <c r="C72" t="str">
        <v>6月会员活动-夏日逃暑计划</v>
      </c>
      <c r="D72" t="str">
        <v>2026-06-07</v>
      </c>
      <c r="E72" t="str">
        <v>王亚萍</v>
      </c>
      <c r="F72" t="str">
        <v>17706858557</v>
      </c>
      <c r="G72" t="str">
        <v>340821199809045225</v>
      </c>
      <c r="H72" t="str">
        <v>1人/2宠</v>
      </c>
      <c r="I72" t="str">
        <v/>
      </c>
      <c r="J72">
        <v>2</v>
      </c>
      <c r="K72" t="str" xml:space="preserve">
        <v xml:space="preserve">宠物1 | 名称:焦糖 | 品种:萨摩耶 | 性别:公 | 年龄:2.5 | 疫苗日期:2026-06-02 | 是否默认:是 | 状态:正常 | 创建时间:2026-06-02T18:46:18
宠物2 | 名称:牛奶 | 性别:公 | 出生日期:2025-06-02 | 年龄:1 | 疫苗日期:2026-06-02 | 是否默认:否 | 状态:正常 | 创建时间:2026-06-02T18:46:28</v>
      </c>
      <c r="L72" t="str">
        <v/>
      </c>
      <c r="M72" t="str">
        <v/>
      </c>
    </row>
    <row r="73">
      <c r="A73" t="str">
        <v>QD20260602171534125</v>
      </c>
      <c r="B73">
        <v>41</v>
      </c>
      <c r="C73" t="str">
        <v>6月会员活动-夏日逃暑计划</v>
      </c>
      <c r="D73" t="str">
        <v>2026-06-07</v>
      </c>
      <c r="E73" t="str">
        <v>王想</v>
      </c>
      <c r="F73" t="str">
        <v>13083270107</v>
      </c>
      <c r="G73" t="str">
        <v>340322200101130023</v>
      </c>
      <c r="H73" t="str">
        <v>1人/1宠</v>
      </c>
      <c r="I73" t="str">
        <v/>
      </c>
      <c r="J73">
        <v>1</v>
      </c>
      <c r="K73" t="str">
        <v>宠物1 | 名称:九月 | 品种:边牧 | 性别:公 | 年龄:一岁半 | 体重:42kg | 疫苗日期:2025-09-02 | 是否默认:是 | 状态:正常 | 创建时间:2026-06-02T17:15:30</v>
      </c>
      <c r="L73" t="str">
        <v/>
      </c>
      <c r="M73" t="str">
        <v/>
      </c>
    </row>
    <row r="74">
      <c r="A74" t="str">
        <v>QD20260602165459667</v>
      </c>
      <c r="B74">
        <v>39</v>
      </c>
      <c r="C74" t="str">
        <v>6月会员活动-夏日逃暑计划</v>
      </c>
      <c r="D74" t="str">
        <v>2026-06-07</v>
      </c>
      <c r="E74" t="str">
        <v>刘振杰</v>
      </c>
      <c r="F74" t="str">
        <v>18339411131</v>
      </c>
      <c r="G74" t="str">
        <v>412728199608204567</v>
      </c>
      <c r="H74" t="str">
        <v>1人/1宠</v>
      </c>
      <c r="I74" t="str">
        <v/>
      </c>
      <c r="J74">
        <v>1</v>
      </c>
      <c r="K74" t="str">
        <v>宠物1 | 名称:初六 | 品种:陨石边牧 | 性别:公 | 出生日期:2024-06-02 | 年龄:2 | 体重:20kg | 疫苗日期:2025-12-02 | 是否默认:是 | 状态:正常 | 创建时间:2026-06-02T16:54:56</v>
      </c>
      <c r="L74" t="str">
        <v/>
      </c>
      <c r="M74" t="str">
        <v/>
      </c>
    </row>
    <row r="75" xml:space="preserve">
      <c r="A75" t="str">
        <v>QD20260602164835011</v>
      </c>
      <c r="B75">
        <v>38</v>
      </c>
      <c r="C75" t="str">
        <v>6月会员活动-夏日逃暑计划</v>
      </c>
      <c r="D75" t="str">
        <v>2026-06-07</v>
      </c>
      <c r="E75" t="str">
        <v>刘菁琪</v>
      </c>
      <c r="F75" t="str">
        <v>19050101560</v>
      </c>
      <c r="G75" t="str">
        <v>330782199712285447</v>
      </c>
      <c r="H75" t="str">
        <v>2人/2宠</v>
      </c>
      <c r="I75" t="str">
        <v>刘琳鑫 / 15558961002 / 332501199703014410</v>
      </c>
      <c r="J75">
        <v>2</v>
      </c>
      <c r="K75" t="str" xml:space="preserve">
        <v xml:space="preserve">宠物1 | 名称:德芙 | 品种:刚毛猎狐 | 性别:母 | 年龄:10个月 | 疫苗日期:2025-11-02 | 是否默认:是 | 状态:正常 | 创建时间:2026-06-02T16:44:08
宠物2 | 名称:发财 | 品种:田园犬 | 性别:母 | 年龄:15个月 | 疫苗日期:2025-06-02 | 是否默认:否 | 状态:正常 | 创建时间:2026-06-02T16:45:15</v>
      </c>
      <c r="L75">
        <f>=IMAGE("https://tailtravel.cn/api/v1/files/static/images/202606/20260602_164339_8f5957bb.jpg?w=200&amp;q=75")</f>
      </c>
      <c r="M75">
        <f>=IMAGE("https://tailtravel.cn/api/v1/files/static/images/202606/20260602_164452_57d17313.jpg?w=200&amp;q=75")</f>
      </c>
    </row>
    <row r="76">
      <c r="A76" t="str">
        <v>QD20260602155412754</v>
      </c>
      <c r="B76">
        <v>35</v>
      </c>
      <c r="C76" t="str">
        <v>6月会员活动-夏日逃暑计划</v>
      </c>
      <c r="D76" t="str">
        <v>2026-06-07</v>
      </c>
      <c r="E76" t="str">
        <v>罗铱娜</v>
      </c>
      <c r="F76" t="str">
        <v>17816531736</v>
      </c>
      <c r="G76" t="str">
        <v>330682200001073421</v>
      </c>
      <c r="H76" t="str">
        <v>1人/1宠</v>
      </c>
      <c r="I76" t="str">
        <v/>
      </c>
      <c r="J76">
        <v>1</v>
      </c>
      <c r="K76" t="str">
        <v>宠物1 | 名称:西瓜 | 品种:金毛 | 性别:公 | 出生日期:2023-06-02 | 年龄:3 | 体重:37kg | 疫苗日期:2025-08-02 | 是否默认:是 | 状态:正常 | 创建时间:2026-06-02T15:54:09</v>
      </c>
      <c r="L76" t="str">
        <v/>
      </c>
      <c r="M76" t="str">
        <v/>
      </c>
    </row>
    <row r="77">
      <c r="A77" t="str">
        <v>QD20260602154629557</v>
      </c>
      <c r="B77">
        <v>31</v>
      </c>
      <c r="C77" t="str">
        <v>6月会员活动-夏日逃暑计划</v>
      </c>
      <c r="D77" t="str">
        <v>2026-06-07</v>
      </c>
      <c r="E77" t="str">
        <v>徐艺玮</v>
      </c>
      <c r="F77" t="str">
        <v>19857101787</v>
      </c>
      <c r="G77" t="str">
        <v>330624200203080407</v>
      </c>
      <c r="H77" t="str">
        <v>1人/1宠</v>
      </c>
      <c r="I77" t="str">
        <v/>
      </c>
      <c r="J77">
        <v>1</v>
      </c>
      <c r="K77" t="str">
        <v>宠物1 | 名称:汉堡 | 品种:柯基 | 性别:公 | 出生日期:2024-06-02 | 年龄:2 | 体重:38kg | 疫苗日期:2026-04-29 | 是否默认:是 | 状态:正常 | 创建时间:2026-06-02T15:46:16</v>
      </c>
      <c r="L77" t="str">
        <v/>
      </c>
      <c r="M77" t="str">
        <v/>
      </c>
    </row>
    <row r="78">
      <c r="A78" t="str">
        <v>QD20260602154412654</v>
      </c>
      <c r="B78">
        <v>32</v>
      </c>
      <c r="C78" t="str">
        <v>6月会员活动-夏日逃暑计划</v>
      </c>
      <c r="D78" t="str">
        <v>2026-06-07</v>
      </c>
      <c r="E78" t="str">
        <v>姜姜</v>
      </c>
      <c r="F78" t="str">
        <v>13486165326</v>
      </c>
      <c r="G78" t="str">
        <v>231202200202100063</v>
      </c>
      <c r="H78" t="str">
        <v>1人/1宠</v>
      </c>
      <c r="I78" t="str">
        <v/>
      </c>
      <c r="J78">
        <v>1</v>
      </c>
      <c r="K78" t="str">
        <v>宠物1 | 名称:Carly | 性别:母 | 出生日期:2020-06-02 | 年龄:6 | 疫苗日期:2026-06-02 | 是否默认:是 | 状态:正常 | 创建时间:2026-06-02T15:44:04</v>
      </c>
      <c r="L78" t="str">
        <v/>
      </c>
      <c r="M78" t="str">
        <v/>
      </c>
    </row>
    <row r="79">
      <c r="A79" t="str">
        <v>QD20260602153406863</v>
      </c>
      <c r="B79">
        <v>29</v>
      </c>
      <c r="C79" t="str">
        <v>6月会员活动-夏日逃暑计划</v>
      </c>
      <c r="D79" t="str">
        <v>2026-06-07</v>
      </c>
      <c r="E79" t="str">
        <v>趙雨彬</v>
      </c>
      <c r="F79" t="str">
        <v>15924394720</v>
      </c>
      <c r="G79" t="str">
        <v>330281199709142214</v>
      </c>
      <c r="H79" t="str">
        <v>1人/1宠</v>
      </c>
      <c r="I79" t="str">
        <v/>
      </c>
      <c r="J79">
        <v>1</v>
      </c>
      <c r="K79" t="str">
        <v>宠物1 | 名称:小狗哥 | 品种:边牧 | 性别:母 | 出生日期:2021-06-02 | 年龄:5 | 体重:23kg | 疫苗日期:2026-02-02 | 是否默认:是 | 状态:正常 | 创建时间:2026-06-02T15:34:02</v>
      </c>
      <c r="L79">
        <f>=IMAGE("https://tailtravel.cn/api/v1/files/static/images/202606/20260602_153332_cc4b8839.jpg?w=200&amp;q=75")</f>
      </c>
      <c r="M79" t="str">
        <v/>
      </c>
    </row>
    <row r="80">
      <c r="A80" t="str">
        <v>QD20260602151935765</v>
      </c>
      <c r="B80">
        <v>26</v>
      </c>
      <c r="C80" t="str">
        <v>6月会员活动-夏日逃暑计划</v>
      </c>
      <c r="D80" t="str">
        <v>2026-06-07</v>
      </c>
      <c r="E80" t="str">
        <v>何超杰</v>
      </c>
      <c r="F80" t="str">
        <v>15158169011</v>
      </c>
      <c r="G80" t="str">
        <v>330106199703303034</v>
      </c>
      <c r="H80" t="str">
        <v>2人/1宠</v>
      </c>
      <c r="I80" t="str">
        <v>张丽娅 / 17815513543 / 330501199606081329</v>
      </c>
      <c r="J80">
        <v>1</v>
      </c>
      <c r="K80" t="str">
        <v>宠物1 | 名称:椰丝儿 | 品种:萨摩耶 | 性别:母 | 出生日期:2025-06-02 | 年龄:1 | 体重:21kg | 疫苗日期:2025-10-02 | 是否默认:是 | 状态:正常 | 创建时间:2026-06-02T15:19:31</v>
      </c>
      <c r="L80">
        <f>=IMAGE("https://tailtravel.cn/api/v1/files/static/images/202606/20260602_151905_9c94bd26.jpg?w=200&amp;q=75")</f>
      </c>
      <c r="M80" t="str">
        <v/>
      </c>
    </row>
    <row r="81" xml:space="preserve">
      <c r="A81" t="str">
        <v>QD20260602150501477</v>
      </c>
      <c r="B81">
        <v>24</v>
      </c>
      <c r="C81" t="str">
        <v>6月会员活动-夏日逃暑计划</v>
      </c>
      <c r="D81" t="str">
        <v>2026-06-07</v>
      </c>
      <c r="E81" t="str">
        <v>屈纤</v>
      </c>
      <c r="F81" t="str">
        <v>17620797116</v>
      </c>
      <c r="G81" t="str">
        <v>511324199611062606</v>
      </c>
      <c r="H81" t="str">
        <v>2人/2宠</v>
      </c>
      <c r="I81" t="str">
        <v>张航 / 18679907670 / 511602200003131915</v>
      </c>
      <c r="J81">
        <v>2</v>
      </c>
      <c r="K81" t="str" xml:space="preserve">
        <v xml:space="preserve">宠物1 | 名称:蓝莓 | 品种:柯基 | 性别:公 | 出生日期:2021-06-02 | 年龄:5 | 体重:20kg | 疫苗日期:2025-09-02 | 是否默认:是 | 状态:正常 | 创建时间:2026-06-02T15:03:51
宠物2 | 名称:哆咪 | 品种:边牧 | 性别:母 | 出生日期:2022-06-02 | 年龄:4 | 体重:20kg | 疫苗日期:2025-06-02 | 是否默认:否 | 状态:正常 | 创建时间:2026-06-02T15:04:15</v>
      </c>
      <c r="L81">
        <f>=IMAGE("https://tailtravel.cn/api/v1/files/static/images/202606/20260602_150333_bfca7f9f.jpg?w=200&amp;q=75")</f>
      </c>
      <c r="M81">
        <f>=IMAGE("https://tailtravel.cn/api/v1/files/static/images/202606/20260602_150400_dad37fbd.jpg?w=200&amp;q=75")</f>
      </c>
    </row>
    <row r="82" xml:space="preserve">
      <c r="A82" t="str">
        <v>QD20260602150418249</v>
      </c>
      <c r="B82">
        <v>24</v>
      </c>
      <c r="C82" t="str">
        <v>6月会员活动-夏日逃暑计划</v>
      </c>
      <c r="D82" t="str">
        <v>2026-06-07</v>
      </c>
      <c r="E82" t="str">
        <v>屈纤</v>
      </c>
      <c r="F82" t="str">
        <v>17620797116</v>
      </c>
      <c r="G82" t="str">
        <v>511324199611062606</v>
      </c>
      <c r="H82" t="str">
        <v>1人/2宠</v>
      </c>
      <c r="I82" t="str">
        <v/>
      </c>
      <c r="J82">
        <v>2</v>
      </c>
      <c r="K82" t="str" xml:space="preserve">
        <v xml:space="preserve">宠物1 | 名称:蓝莓 | 品种:柯基 | 性别:公 | 出生日期:2021-06-02 | 年龄:5 | 体重:20kg | 疫苗日期:2025-09-02 | 是否默认:是 | 状态:正常 | 创建时间:2026-06-02T15:03:51
宠物2 | 名称:哆咪 | 品种:边牧 | 性别:母 | 出生日期:2022-06-02 | 年龄:4 | 体重:20kg | 疫苗日期:2025-06-02 | 是否默认:否 | 状态:正常 | 创建时间:2026-06-02T15:04:15</v>
      </c>
      <c r="L82">
        <f>=IMAGE("https://tailtravel.cn/api/v1/files/static/images/202606/20260602_150333_bfca7f9f.jpg?w=200&amp;q=75")</f>
      </c>
      <c r="M82">
        <f>=IMAGE("https://tailtravel.cn/api/v1/files/static/images/202606/20260602_150400_dad37fbd.jpg?w=200&amp;q=75")</f>
      </c>
    </row>
    <row r="83">
      <c r="A83" t="str">
        <v>QD20260601230552238</v>
      </c>
      <c r="B83">
        <v>7</v>
      </c>
      <c r="C83" t="str">
        <v>6月会员活动-狗狗寻宝记</v>
      </c>
      <c r="D83" t="str">
        <v>2026-06-07</v>
      </c>
      <c r="E83" t="str">
        <v>苏苏</v>
      </c>
      <c r="F83" t="str">
        <v>15364529785</v>
      </c>
      <c r="G83" t="str">
        <v>331023199205277023</v>
      </c>
      <c r="H83" t="str">
        <v>1人/1宠</v>
      </c>
      <c r="I83" t="str">
        <v/>
      </c>
      <c r="J83">
        <v>1</v>
      </c>
      <c r="K83" t="str">
        <v>宠物1 | 名称:豆 | 性别:公 | 出生日期:2025-06-01 | 年龄:1 | 疫苗日期:2026-05-27 | 是否默认:是 | 状态:正常 | 创建时间:2026-05-27T15:49:05</v>
      </c>
      <c r="L83">
        <f>=IMAGE("https://tailtravel.cn/api/v1/files/static/images/202605/20260530_153724_09cb6cb8.jpg?w=200&amp;q=75")</f>
      </c>
      <c r="M83" t="str">
        <v/>
      </c>
    </row>
    <row r="84">
      <c r="A84" t="str">
        <v>QD20260613204638755</v>
      </c>
      <c r="B84">
        <v>98</v>
      </c>
      <c r="C84" t="str">
        <v>6月会员活动-狗狗祈福记</v>
      </c>
      <c r="D84" t="str">
        <v>2026-06-13</v>
      </c>
      <c r="E84" t="str">
        <v>帆帆</v>
      </c>
      <c r="F84" t="str">
        <v>18734729308</v>
      </c>
      <c r="G84" t="str">
        <v>142630200009171026</v>
      </c>
      <c r="H84" t="str">
        <v>1人/1宠</v>
      </c>
      <c r="I84" t="str">
        <v/>
      </c>
      <c r="J84">
        <v>1</v>
      </c>
      <c r="K84" t="str">
        <v>宠物1 | 名称:豆豆 | 品种:柴犬 | 性别:公 | 出生日期:2025-06-13 | 年龄:1 | 疫苗日期:2026-06-13 | 疫苗本:http://localhost:8081/api/v1/files/static/images/202606/20260613_182845_65797e5b.png?w=200&amp;q=75 | 是否默认:是 | 状态:正常 | 创建时间:2026-06-13T18:28:48</v>
      </c>
      <c r="L84">
        <f>=IMAGE("http://localhost:8081/api/v1/files/static/images/202606/20260613_182838_fd43d226.png?w=200&amp;q=75")</f>
      </c>
      <c r="M84" t="str">
        <v/>
      </c>
    </row>
    <row r="85" xml:space="preserve">
      <c r="A85" t="str">
        <v>QD20260609123150123</v>
      </c>
      <c r="B85">
        <v>98</v>
      </c>
      <c r="C85" t="str">
        <v>6月会员活动-狗狗祈福记</v>
      </c>
      <c r="D85" t="str">
        <v>2026-06-13</v>
      </c>
      <c r="E85" t="str">
        <v>帆帆</v>
      </c>
      <c r="F85" t="str">
        <v>18734729308</v>
      </c>
      <c r="G85" t="str">
        <v>142630200009171026</v>
      </c>
      <c r="H85" t="str">
        <v>1人/2宠</v>
      </c>
      <c r="I85" t="str">
        <v/>
      </c>
      <c r="J85">
        <v>2</v>
      </c>
      <c r="K85" t="str" xml:space="preserve">
        <v xml:space="preserve">宠物1 | 名称:豆豆 | 品种:柴犬 | 性别:公 | 出生日期:2025-06-13 | 年龄:1 | 疫苗日期:2026-06-13 | 疫苗本:http://localhost:8081/api/v1/files/static/images/202606/20260613_182845_65797e5b.png?w=200&amp;q=75 | 是否默认:是 | 状态:正常 | 创建时间:2026-06-13T18:28:48
宠物2 | 名称:句句 | 品种:柯基 | 性别:公 | 出生日期:2018-06-11 | 年龄:8 | 疫苗日期:2026-06-11 | 是否默认:否 | 状态:正常 | 创建时间:2026-06-11T17:08:58</v>
      </c>
      <c r="L85">
        <f>=IMAGE("http://localhost:8081/api/v1/files/static/images/202606/20260613_182838_fd43d226.png?w=200&amp;q=75")</f>
      </c>
      <c r="M85">
        <f>=IMAGE("https://petway-images-1419739861.cos.ap-guangzhou.myqcloud.com/images/202606/20260611_170855_67ef98bf.png?w=200&amp;q=75")</f>
      </c>
    </row>
    <row r="86" xml:space="preserve">
      <c r="A86" t="str">
        <v>QD20260609123039320</v>
      </c>
      <c r="B86">
        <v>98</v>
      </c>
      <c r="C86" t="str">
        <v>6月会员活动-狗狗祈福记</v>
      </c>
      <c r="D86" t="str">
        <v>2026-06-13</v>
      </c>
      <c r="E86" t="str">
        <v>帆帆</v>
      </c>
      <c r="F86" t="str">
        <v>18734729308</v>
      </c>
      <c r="G86" t="str">
        <v>142630200009171026</v>
      </c>
      <c r="H86" t="str">
        <v>1人/2宠</v>
      </c>
      <c r="I86" t="str">
        <v/>
      </c>
      <c r="J86">
        <v>2</v>
      </c>
      <c r="K86" t="str" xml:space="preserve">
        <v xml:space="preserve">宠物1 | 名称:豆豆 | 品种:柴犬 | 性别:公 | 出生日期:2025-06-13 | 年龄:1 | 疫苗日期:2026-06-13 | 疫苗本:http://localhost:8081/api/v1/files/static/images/202606/20260613_182845_65797e5b.png?w=200&amp;q=75 | 是否默认:是 | 状态:正常 | 创建时间:2026-06-13T18:28:48
宠物2 | 名称:句句 | 品种:柯基 | 性别:公 | 出生日期:2018-06-11 | 年龄:8 | 疫苗日期:2026-06-11 | 是否默认:否 | 状态:正常 | 创建时间:2026-06-11T17:08:58</v>
      </c>
      <c r="L86">
        <f>=IMAGE("http://localhost:8081/api/v1/files/static/images/202606/20260613_182838_fd43d226.png?w=200&amp;q=75")</f>
      </c>
      <c r="M86">
        <f>=IMAGE("https://petway-images-1419739861.cos.ap-guangzhou.myqcloud.com/images/202606/20260611_170855_67ef98bf.png?w=200&amp;q=75")</f>
      </c>
    </row>
    <row r="87">
      <c r="A87" t="str">
        <v>QD20260609122947139</v>
      </c>
      <c r="B87">
        <v>98</v>
      </c>
      <c r="C87" t="str">
        <v>6月会员活动-狗狗祈福记</v>
      </c>
      <c r="D87" t="str">
        <v>2026-06-13</v>
      </c>
      <c r="E87" t="str">
        <v>帆帆</v>
      </c>
      <c r="F87" t="str">
        <v>18734729308</v>
      </c>
      <c r="G87" t="str">
        <v>142630200009171026</v>
      </c>
      <c r="H87" t="str">
        <v>1人/1宠</v>
      </c>
      <c r="I87" t="str">
        <v/>
      </c>
      <c r="J87">
        <v>1</v>
      </c>
      <c r="K87" t="str">
        <v>宠物1 | 名称:豆豆 | 品种:柴犬 | 性别:公 | 出生日期:2025-06-13 | 年龄:1 | 疫苗日期:2026-06-13 | 疫苗本:http://localhost:8081/api/v1/files/static/images/202606/20260613_182845_65797e5b.png?w=200&amp;q=75 | 是否默认:是 | 状态:正常 | 创建时间:2026-06-13T18:28:48</v>
      </c>
      <c r="L87">
        <f>=IMAGE("http://localhost:8081/api/v1/files/static/images/202606/20260613_182838_fd43d226.png?w=200&amp;q=75")</f>
      </c>
      <c r="M87" t="str">
        <v/>
      </c>
    </row>
    <row r="88" xml:space="preserve">
      <c r="A88" t="str">
        <v>QD20260609121729966</v>
      </c>
      <c r="B88">
        <v>98</v>
      </c>
      <c r="C88" t="str">
        <v>6月会员活动-狗狗祈福记</v>
      </c>
      <c r="D88" t="str">
        <v>2026-06-13</v>
      </c>
      <c r="E88" t="str">
        <v>帆帆</v>
      </c>
      <c r="F88" t="str">
        <v>18734729308</v>
      </c>
      <c r="G88" t="str">
        <v>142630200009171026</v>
      </c>
      <c r="H88" t="str">
        <v>1人/2宠</v>
      </c>
      <c r="I88" t="str">
        <v/>
      </c>
      <c r="J88">
        <v>2</v>
      </c>
      <c r="K88" t="str" xml:space="preserve">
        <v xml:space="preserve">宠物1 | 名称:豆豆 | 品种:柴犬 | 性别:公 | 出生日期:2025-06-13 | 年龄:1 | 疫苗日期:2026-06-13 | 疫苗本:http://localhost:8081/api/v1/files/static/images/202606/20260613_182845_65797e5b.png?w=200&amp;q=75 | 是否默认:是 | 状态:正常 | 创建时间:2026-06-13T18:28:48
宠物2 | 名称:句句 | 品种:柯基 | 性别:公 | 出生日期:2018-06-11 | 年龄:8 | 疫苗日期:2026-06-11 | 是否默认:否 | 状态:正常 | 创建时间:2026-06-11T17:08:58</v>
      </c>
      <c r="L88">
        <f>=IMAGE("http://localhost:8081/api/v1/files/static/images/202606/20260613_182838_fd43d226.png?w=200&amp;q=75")</f>
      </c>
      <c r="M88">
        <f>=IMAGE("https://petway-images-1419739861.cos.ap-guangzhou.myqcloud.com/images/202606/20260611_170855_67ef98bf.png?w=200&amp;q=75")</f>
      </c>
    </row>
    <row r="89">
      <c r="A89" t="str">
        <v>QD20260609120118095</v>
      </c>
      <c r="B89">
        <v>97</v>
      </c>
      <c r="C89" t="str">
        <v>6月会员活动-狗狗祈福记</v>
      </c>
      <c r="D89" t="str">
        <v>2026-06-13</v>
      </c>
      <c r="E89" t="str">
        <v>帆帆</v>
      </c>
      <c r="F89" t="str">
        <v>18734729308</v>
      </c>
      <c r="G89" t="str">
        <v>142630200009171026</v>
      </c>
      <c r="H89" t="str">
        <v>2人/1宠</v>
      </c>
      <c r="I89" t="str">
        <v>苏苏 / 15354325648 / 331023199205277023</v>
      </c>
      <c r="J89">
        <v>1</v>
      </c>
      <c r="K89" t="str">
        <v>宠物1 | 名称:豆豆 | 性别:公 | 出生日期:2025-06-08 | 年龄:1 | 疫苗日期:2026-06-08 | 是否默认:是 | 状态:正常 | 创建时间:2026-06-08T23:43:43</v>
      </c>
      <c r="L89" t="str">
        <v/>
      </c>
      <c r="M89" t="str">
        <v/>
      </c>
    </row>
    <row r="90" xml:space="preserve">
      <c r="A90" t="str">
        <v>QD20260609115733667</v>
      </c>
      <c r="B90">
        <v>97</v>
      </c>
      <c r="C90" t="str">
        <v>6月会员活动-狗狗祈福记</v>
      </c>
      <c r="D90" t="str">
        <v>2026-06-13</v>
      </c>
      <c r="E90" t="str">
        <v>帆帆</v>
      </c>
      <c r="F90" t="str">
        <v>18734729308</v>
      </c>
      <c r="G90" t="str">
        <v>142630200009171026</v>
      </c>
      <c r="H90" t="str">
        <v>1人/2宠</v>
      </c>
      <c r="I90" t="str">
        <v/>
      </c>
      <c r="J90">
        <v>2</v>
      </c>
      <c r="K90" t="str" xml:space="preserve">
        <v xml:space="preserve">宠物1 | 名称:豆豆 | 性别:公 | 出生日期:2025-06-08 | 年龄:1 | 疫苗日期:2026-06-08 | 是否默认:是 | 状态:正常 | 创建时间:2026-06-08T23:43:43
宠物2 | 名称:coo | 性别:公 | 出生日期:2024-06-09 | 年龄:2 | 疫苗日期:2026-06-09 | 是否默认:否 | 状态:正常 | 创建时间:2026-06-09T11:48:03</v>
      </c>
      <c r="L90" t="str">
        <v/>
      </c>
      <c r="M90" t="str">
        <v/>
      </c>
    </row>
    <row r="91" xml:space="preserve">
      <c r="A91" t="str">
        <v>QD20260609115003072</v>
      </c>
      <c r="B91">
        <v>97</v>
      </c>
      <c r="C91" t="str">
        <v>6月会员活动-狗狗祈福记</v>
      </c>
      <c r="D91" t="str">
        <v>2026-06-13</v>
      </c>
      <c r="E91" t="str">
        <v>帆帆</v>
      </c>
      <c r="F91" t="str">
        <v>18734729308</v>
      </c>
      <c r="G91" t="str">
        <v>142630200009171026</v>
      </c>
      <c r="H91" t="str">
        <v>1人/2宠</v>
      </c>
      <c r="I91" t="str">
        <v/>
      </c>
      <c r="J91">
        <v>2</v>
      </c>
      <c r="K91" t="str" xml:space="preserve">
        <v xml:space="preserve">宠物1 | 名称:豆豆 | 性别:公 | 出生日期:2025-06-08 | 年龄:1 | 疫苗日期:2026-06-08 | 是否默认:是 | 状态:正常 | 创建时间:2026-06-08T23:43:43
宠物2 | 名称:coo | 性别:公 | 出生日期:2024-06-09 | 年龄:2 | 疫苗日期:2026-06-09 | 是否默认:否 | 状态:正常 | 创建时间:2026-06-09T11:48:03</v>
      </c>
      <c r="L91" t="str">
        <v/>
      </c>
      <c r="M91" t="str">
        <v/>
      </c>
    </row>
    <row r="92" xml:space="preserve">
      <c r="A92" t="str">
        <v>QD20260609112607060</v>
      </c>
      <c r="B92">
        <v>97</v>
      </c>
      <c r="C92" t="str">
        <v>6月会员活动-狗狗祈福记</v>
      </c>
      <c r="D92" t="str">
        <v>2026-06-13</v>
      </c>
      <c r="E92" t="str">
        <v>帆帆</v>
      </c>
      <c r="F92" t="str">
        <v>18734729308</v>
      </c>
      <c r="G92" t="str">
        <v>142630200009171026</v>
      </c>
      <c r="H92" t="str">
        <v>2人/2宠</v>
      </c>
      <c r="I92" t="str">
        <v>苏苏 / 15354325648 / 331023199205277023</v>
      </c>
      <c r="J92">
        <v>2</v>
      </c>
      <c r="K92" t="str" xml:space="preserve">
        <v xml:space="preserve">宠物1 | 名称:豆豆 | 性别:公 | 出生日期:2025-06-08 | 年龄:1 | 疫苗日期:2026-06-08 | 是否默认:是 | 状态:正常 | 创建时间:2026-06-08T23:43:43
宠物2 | 名称:句句 | 性别:公 | 出生日期:2018-06-09 | 年龄:8 | 疫苗日期:2026-06-09 | 是否默认:否 | 状态:正常 | 创建时间:2026-06-09T00:41:19</v>
      </c>
      <c r="L92" t="str">
        <v/>
      </c>
      <c r="M92" t="str">
        <v/>
      </c>
    </row>
    <row r="93" xml:space="preserve">
      <c r="A93" t="str">
        <v>QD20260609011656094</v>
      </c>
      <c r="B93">
        <v>97</v>
      </c>
      <c r="C93" t="str">
        <v>会员免费路线测试</v>
      </c>
      <c r="D93" t="str">
        <v>2026-06-13</v>
      </c>
      <c r="E93" t="str">
        <v>帆帆</v>
      </c>
      <c r="F93" t="str">
        <v>18734729308</v>
      </c>
      <c r="G93" t="str">
        <v>142630200009171026</v>
      </c>
      <c r="H93" t="str">
        <v>1人/2宠</v>
      </c>
      <c r="I93" t="str">
        <v/>
      </c>
      <c r="J93">
        <v>2</v>
      </c>
      <c r="K93" t="str" xml:space="preserve">
        <v xml:space="preserve">宠物1 | 名称:豆豆 | 性别:公 | 出生日期:2025-06-08 | 年龄:1 | 疫苗日期:2026-06-08 | 是否默认:是 | 状态:正常 | 创建时间:2026-06-08T23:43:43
宠物2 | 名称:句句 | 性别:公 | 出生日期:2018-06-09 | 年龄:8 | 疫苗日期:2026-06-09 | 是否默认:否 | 状态:正常 | 创建时间:2026-06-09T00:41:19</v>
      </c>
      <c r="L93" t="str">
        <v/>
      </c>
      <c r="M93" t="str">
        <v/>
      </c>
    </row>
    <row r="94" xml:space="preserve">
      <c r="A94" t="str">
        <v>QD20260609010911730</v>
      </c>
      <c r="B94">
        <v>97</v>
      </c>
      <c r="C94" t="str">
        <v>会员免费路线测试</v>
      </c>
      <c r="D94" t="str">
        <v>2026-06-13</v>
      </c>
      <c r="E94" t="str">
        <v>帆帆</v>
      </c>
      <c r="F94" t="str">
        <v>18734729308</v>
      </c>
      <c r="G94" t="str">
        <v>142630200009171026</v>
      </c>
      <c r="H94" t="str">
        <v>2人/2宠</v>
      </c>
      <c r="I94" t="str">
        <v>苏苏 / 15354325648 / 331023199205277023</v>
      </c>
      <c r="J94">
        <v>2</v>
      </c>
      <c r="K94" t="str" xml:space="preserve">
        <v xml:space="preserve">宠物1 | 名称:豆豆 | 性别:公 | 出生日期:2025-06-08 | 年龄:1 | 疫苗日期:2026-06-08 | 是否默认:是 | 状态:正常 | 创建时间:2026-06-08T23:43:43
宠物2 | 名称:句句 | 性别:公 | 出生日期:2018-06-09 | 年龄:8 | 疫苗日期:2026-06-09 | 是否默认:否 | 状态:正常 | 创建时间:2026-06-09T00:41:19</v>
      </c>
      <c r="L94" t="str">
        <v/>
      </c>
      <c r="M94" t="str">
        <v/>
      </c>
    </row>
    <row r="95">
      <c r="A95" t="str">
        <v>QD20260609005940549</v>
      </c>
      <c r="B95">
        <v>97</v>
      </c>
      <c r="C95" t="str">
        <v>会员免费路线测试</v>
      </c>
      <c r="D95" t="str">
        <v>2026-06-13</v>
      </c>
      <c r="E95" t="str">
        <v>帆帆</v>
      </c>
      <c r="F95" t="str">
        <v>18734729308</v>
      </c>
      <c r="G95" t="str">
        <v>142630200009171026</v>
      </c>
      <c r="H95" t="str">
        <v>1人/1宠</v>
      </c>
      <c r="I95" t="str">
        <v/>
      </c>
      <c r="J95">
        <v>1</v>
      </c>
      <c r="K95" t="str">
        <v>宠物1 | 名称:豆豆 | 性别:公 | 出生日期:2025-06-08 | 年龄:1 | 疫苗日期:2026-06-08 | 是否默认:是 | 状态:正常 | 创建时间:2026-06-08T23:43:43</v>
      </c>
      <c r="L95" t="str">
        <v/>
      </c>
      <c r="M95" t="str">
        <v/>
      </c>
    </row>
    <row r="96" xml:space="preserve">
      <c r="A96" t="str">
        <v>QD20260609004206912</v>
      </c>
      <c r="B96">
        <v>97</v>
      </c>
      <c r="C96" t="str">
        <v>会员免费路线测试</v>
      </c>
      <c r="D96" t="str">
        <v>2026-06-13</v>
      </c>
      <c r="E96" t="str">
        <v>帆帆</v>
      </c>
      <c r="F96" t="str">
        <v>18734729308</v>
      </c>
      <c r="G96" t="str">
        <v>142630200009171026</v>
      </c>
      <c r="H96" t="str">
        <v>2人/2宠</v>
      </c>
      <c r="I96" t="str">
        <v>苏苏 / 15354325648 / 331023199205277023</v>
      </c>
      <c r="J96">
        <v>2</v>
      </c>
      <c r="K96" t="str" xml:space="preserve">
        <v xml:space="preserve">宠物1 | 名称:豆豆 | 性别:公 | 出生日期:2025-06-08 | 年龄:1 | 疫苗日期:2026-06-08 | 是否默认:是 | 状态:正常 | 创建时间:2026-06-08T23:43:43
宠物2 | 名称:句句 | 性别:公 | 出生日期:2018-06-09 | 年龄:8 | 疫苗日期:2026-06-09 | 是否默认:否 | 状态:正常 | 创建时间:2026-06-09T00:41:19</v>
      </c>
      <c r="L96" t="str">
        <v/>
      </c>
      <c r="M96" t="str">
        <v/>
      </c>
    </row>
    <row r="97">
      <c r="A97" t="str">
        <v>QD20260608234357189</v>
      </c>
      <c r="B97">
        <v>97</v>
      </c>
      <c r="C97" t="str">
        <v>会员免费路线测试</v>
      </c>
      <c r="D97" t="str">
        <v>2026-06-13</v>
      </c>
      <c r="E97" t="str">
        <v>帆帆</v>
      </c>
      <c r="F97" t="str">
        <v>18734729308</v>
      </c>
      <c r="G97" t="str">
        <v>142630200009171026</v>
      </c>
      <c r="H97" t="str">
        <v>1人/1宠</v>
      </c>
      <c r="I97" t="str">
        <v/>
      </c>
      <c r="J97">
        <v>1</v>
      </c>
      <c r="K97" t="str">
        <v>宠物1 | 名称:豆豆 | 性别:公 | 出生日期:2025-06-08 | 年龄:1 | 疫苗日期:2026-06-08 | 是否默认:是 | 状态:正常 | 创建时间:2026-06-08T23:43:43</v>
      </c>
      <c r="L97" t="str">
        <v/>
      </c>
      <c r="M97" t="str">
        <v/>
      </c>
    </row>
    <row r="98">
      <c r="A98" t="str">
        <v>QD20260608232059917</v>
      </c>
      <c r="B98">
        <v>1</v>
      </c>
      <c r="C98" t="str">
        <v>会员免费路线测试</v>
      </c>
      <c r="D98" t="str">
        <v>2026-06-13</v>
      </c>
      <c r="E98" t="str">
        <v>帆帆</v>
      </c>
      <c r="F98" t="str">
        <v>18734729308</v>
      </c>
      <c r="G98" t="str">
        <v>142630200009171026</v>
      </c>
      <c r="H98" t="str">
        <v>1人/1宠</v>
      </c>
      <c r="I98" t="str">
        <v/>
      </c>
      <c r="J98">
        <v>1</v>
      </c>
      <c r="K98" t="str">
        <v>宠物1 | 名称:豆 | 品种:柴犬 | 性别:公 | 年龄:1岁半 | 体重:20kg | 疫苗日期:2025-05-26 | 是否默认:是 | 状态:正常 | 创建时间:2026-05-26T16:52:16</v>
      </c>
      <c r="L98">
        <f>=IMAGE("https://tailtravel.cn/api/v1/files/static/images/202605/20260526_165154_5e9b49b7.jpg?w=200&amp;q=75")</f>
      </c>
      <c r="M98" t="str">
        <v/>
      </c>
    </row>
    <row r="99">
      <c r="A99" t="str">
        <v>QD20260608201418274</v>
      </c>
      <c r="B99">
        <v>1</v>
      </c>
      <c r="C99" t="str">
        <v>会员免费路线测试</v>
      </c>
      <c r="D99" t="str">
        <v>2026-06-13</v>
      </c>
      <c r="E99" t="str">
        <v>帆帆</v>
      </c>
      <c r="F99" t="str">
        <v>18734729308</v>
      </c>
      <c r="G99" t="str">
        <v>142630200009171026</v>
      </c>
      <c r="H99" t="str">
        <v>1人/1宠</v>
      </c>
      <c r="I99" t="str">
        <v/>
      </c>
      <c r="J99">
        <v>1</v>
      </c>
      <c r="K99" t="str">
        <v>宠物1 | 名称:豆 | 品种:柴犬 | 性别:公 | 年龄:1岁半 | 体重:20kg | 疫苗日期:2025-05-26 | 是否默认:是 | 状态:正常 | 创建时间:2026-05-26T16:52:16</v>
      </c>
      <c r="L99">
        <f>=IMAGE("https://tailtravel.cn/api/v1/files/static/images/202605/20260526_165154_5e9b49b7.jpg?w=200&amp;q=75")</f>
      </c>
      <c r="M99" t="str">
        <v/>
      </c>
    </row>
    <row r="100">
      <c r="A100" t="str">
        <v>QD20260608200727054</v>
      </c>
      <c r="B100">
        <v>1</v>
      </c>
      <c r="C100" t="str">
        <v>会员免费路线测试</v>
      </c>
      <c r="D100" t="str">
        <v>2026-06-13</v>
      </c>
      <c r="E100" t="str">
        <v>帆帆</v>
      </c>
      <c r="F100" t="str">
        <v>18734729308</v>
      </c>
      <c r="G100" t="str">
        <v>142630200009171026</v>
      </c>
      <c r="H100" t="str">
        <v>1人/1宠</v>
      </c>
      <c r="I100" t="str">
        <v/>
      </c>
      <c r="J100">
        <v>1</v>
      </c>
      <c r="K100" t="str">
        <v>宠物1 | 名称:豆 | 品种:柴犬 | 性别:公 | 年龄:1岁半 | 体重:20kg | 疫苗日期:2025-05-26 | 是否默认:是 | 状态:正常 | 创建时间:2026-05-26T16:52:16</v>
      </c>
      <c r="L100">
        <f>=IMAGE("https://tailtravel.cn/api/v1/files/static/images/202605/20260526_165154_5e9b49b7.jpg?w=200&amp;q=75")</f>
      </c>
      <c r="M100" t="str">
        <v/>
      </c>
    </row>
    <row r="101">
      <c r="A101" t="str">
        <v>QD20260608200120703</v>
      </c>
      <c r="B101">
        <v>1</v>
      </c>
      <c r="C101" t="str">
        <v>会员免费路线测试</v>
      </c>
      <c r="D101" t="str">
        <v>2026-06-13</v>
      </c>
      <c r="E101" t="str">
        <v>帆帆</v>
      </c>
      <c r="F101" t="str">
        <v>18734729308</v>
      </c>
      <c r="G101" t="str">
        <v>142630200009171026</v>
      </c>
      <c r="H101" t="str">
        <v>1人/1宠</v>
      </c>
      <c r="I101" t="str">
        <v/>
      </c>
      <c r="J101">
        <v>1</v>
      </c>
      <c r="K101" t="str">
        <v>宠物1 | 名称:豆 | 品种:柴犬 | 性别:公 | 年龄:1岁半 | 体重:20kg | 疫苗日期:2025-05-26 | 是否默认:是 | 状态:正常 | 创建时间:2026-05-26T16:52:16</v>
      </c>
      <c r="L101">
        <f>=IMAGE("https://tailtravel.cn/api/v1/files/static/images/202605/20260526_165154_5e9b49b7.jpg?w=200&amp;q=75")</f>
      </c>
      <c r="M101" t="str">
        <v/>
      </c>
    </row>
    <row r="102">
      <c r="A102" t="str">
        <v>QD20260608195358989</v>
      </c>
      <c r="B102">
        <v>1</v>
      </c>
      <c r="C102" t="str">
        <v>会员免费路线测试</v>
      </c>
      <c r="D102" t="str">
        <v>2026-06-13</v>
      </c>
      <c r="E102" t="str">
        <v>帆帆</v>
      </c>
      <c r="F102" t="str">
        <v>18734729308</v>
      </c>
      <c r="G102" t="str">
        <v>142630200009171026</v>
      </c>
      <c r="H102" t="str">
        <v>1人/1宠</v>
      </c>
      <c r="I102" t="str">
        <v/>
      </c>
      <c r="J102">
        <v>1</v>
      </c>
      <c r="K102" t="str">
        <v>宠物1 | 名称:豆 | 品种:柴犬 | 性别:公 | 年龄:1岁半 | 体重:20kg | 疫苗日期:2025-05-26 | 是否默认:是 | 状态:正常 | 创建时间:2026-05-26T16:52:16</v>
      </c>
      <c r="L102">
        <f>=IMAGE("https://tailtravel.cn/api/v1/files/static/images/202605/20260526_165154_5e9b49b7.jpg?w=200&amp;q=75")</f>
      </c>
      <c r="M102" t="str">
        <v/>
      </c>
    </row>
    <row r="103">
      <c r="A103" t="str">
        <v>QD20260608195305413</v>
      </c>
      <c r="B103">
        <v>1</v>
      </c>
      <c r="C103" t="str">
        <v>会员免费路线测试</v>
      </c>
      <c r="D103" t="str">
        <v>2026-06-13</v>
      </c>
      <c r="E103" t="str">
        <v>帆帆</v>
      </c>
      <c r="F103" t="str">
        <v>18734729308</v>
      </c>
      <c r="G103" t="str">
        <v>142630200009171026</v>
      </c>
      <c r="H103" t="str">
        <v>1人/1宠</v>
      </c>
      <c r="I103" t="str">
        <v/>
      </c>
      <c r="J103">
        <v>1</v>
      </c>
      <c r="K103" t="str">
        <v>宠物1 | 名称:豆 | 品种:柴犬 | 性别:公 | 年龄:1岁半 | 体重:20kg | 疫苗日期:2025-05-26 | 是否默认:是 | 状态:正常 | 创建时间:2026-05-26T16:52:16</v>
      </c>
      <c r="L103">
        <f>=IMAGE("https://tailtravel.cn/api/v1/files/static/images/202605/20260526_165154_5e9b49b7.jpg?w=200&amp;q=75")</f>
      </c>
      <c r="M103" t="str">
        <v/>
      </c>
    </row>
    <row r="104">
      <c r="A104" t="str">
        <v>QD20260608193824253</v>
      </c>
      <c r="B104">
        <v>93</v>
      </c>
      <c r="C104" t="str">
        <v>会员免费路线测试</v>
      </c>
      <c r="D104" t="str">
        <v>2026-06-13</v>
      </c>
      <c r="E104" t="str">
        <v>帆帆</v>
      </c>
      <c r="F104" t="str">
        <v>18734729308</v>
      </c>
      <c r="G104" t="str">
        <v>142630200009171026</v>
      </c>
      <c r="H104" t="str">
        <v>1人/1宠</v>
      </c>
      <c r="I104" t="str">
        <v/>
      </c>
      <c r="J104">
        <v>1</v>
      </c>
      <c r="K104" t="str">
        <v>宠物1 | 名称:豆豆 | 性别:公 | 出生日期:2025-06-08 | 年龄:1 | 疫苗日期:2026-06-08 | 是否默认:是 | 状态:正常 | 创建时间:2026-06-08T19:37:48</v>
      </c>
      <c r="L104" t="str">
        <v/>
      </c>
      <c r="M104" t="str">
        <v/>
      </c>
    </row>
    <row r="105">
      <c r="A105" t="str">
        <v>QD20260603224324770</v>
      </c>
      <c r="B105">
        <v>7</v>
      </c>
      <c r="C105" t="str">
        <v>6月会员活动-狗狗祈福记</v>
      </c>
      <c r="D105" t="str">
        <v>2026-06-13</v>
      </c>
      <c r="E105" t="str">
        <v>苏苏</v>
      </c>
      <c r="F105" t="str">
        <v>15364529785</v>
      </c>
      <c r="G105" t="str">
        <v>331023199205277023</v>
      </c>
      <c r="H105" t="str">
        <v>1人/1宠</v>
      </c>
      <c r="I105" t="str">
        <v/>
      </c>
      <c r="J105">
        <v>1</v>
      </c>
      <c r="K105" t="str">
        <v>宠物1 | 名称:豆 | 性别:公 | 出生日期:2025-06-01 | 年龄:1 | 疫苗日期:2026-05-27 | 是否默认:是 | 状态:正常 | 创建时间:2026-05-27T15:49:05</v>
      </c>
      <c r="L105">
        <f>=IMAGE("https://tailtravel.cn/api/v1/files/static/images/202605/20260530_153724_09cb6cb8.jpg?w=200&amp;q=75")</f>
      </c>
      <c r="M105" t="str">
        <v/>
      </c>
    </row>
    <row r="106">
      <c r="A106" t="str">
        <v>QD20260606000702059</v>
      </c>
      <c r="B106">
        <v>70</v>
      </c>
      <c r="C106" t="str">
        <v>九子岩狗狗庙祈福3日游</v>
      </c>
      <c r="D106" t="str">
        <v>2026-06-19</v>
      </c>
      <c r="E106" t="str">
        <v>帆帆</v>
      </c>
      <c r="F106" t="str">
        <v>18734729308</v>
      </c>
      <c r="G106" t="str">
        <v>142630200009171026</v>
      </c>
      <c r="H106" t="str">
        <v>1人/1宠</v>
      </c>
      <c r="I106" t="str">
        <v/>
      </c>
      <c r="J106">
        <v>1</v>
      </c>
      <c r="K106" t="str">
        <v>宠物1 | 名称:豆豆 | 性别:公 | 年龄:1.5 | 疫苗日期:2026-06-05 | 是否默认:是 | 状态:正常 | 创建时间:2026-06-05T23:43:19</v>
      </c>
      <c r="L106" t="str">
        <v/>
      </c>
      <c r="M106" t="str">
        <v/>
      </c>
    </row>
    <row r="107">
      <c r="A107" t="str">
        <v>QD20260605110004797</v>
      </c>
      <c r="B107">
        <v>7</v>
      </c>
      <c r="C107" t="str">
        <v>6月会员活动-狗狗考古记</v>
      </c>
      <c r="D107" t="str">
        <v>2026-06-19</v>
      </c>
      <c r="E107" t="str">
        <v>苏苏</v>
      </c>
      <c r="F107" t="str">
        <v>15364529785</v>
      </c>
      <c r="G107" t="str">
        <v>331023199205277023</v>
      </c>
      <c r="H107" t="str">
        <v>2人/1宠</v>
      </c>
      <c r="I107" t="str">
        <v>贺新帆 / 18734729301 / 142630200009171026</v>
      </c>
      <c r="J107">
        <v>1</v>
      </c>
      <c r="K107" t="str">
        <v>宠物1 | 名称:豆 | 性别:公 | 出生日期:2025-06-01 | 年龄:1 | 疫苗日期:2026-05-27 | 是否默认:是 | 状态:正常 | 创建时间:2026-05-27T15:49:05</v>
      </c>
      <c r="L107">
        <f>=IMAGE("https://tailtravel.cn/api/v1/files/static/images/202605/20260530_153724_09cb6cb8.jpg?w=200&amp;q=75")</f>
      </c>
      <c r="M107" t="str">
        <v/>
      </c>
    </row>
    <row r="108">
      <c r="A108" t="str">
        <v>QD20260603224400985</v>
      </c>
      <c r="B108">
        <v>7</v>
      </c>
      <c r="C108" t="str">
        <v>6月会员活动-狗狗考古记</v>
      </c>
      <c r="D108" t="str">
        <v>2026-06-19</v>
      </c>
      <c r="E108" t="str">
        <v>苏苏</v>
      </c>
      <c r="F108" t="str">
        <v>15364529785</v>
      </c>
      <c r="G108" t="str">
        <v>331023199205277023</v>
      </c>
      <c r="H108" t="str">
        <v>1人/1宠</v>
      </c>
      <c r="I108" t="str">
        <v/>
      </c>
      <c r="J108">
        <v>1</v>
      </c>
      <c r="K108" t="str">
        <v>宠物1 | 名称:豆 | 性别:公 | 出生日期:2025-06-01 | 年龄:1 | 疫苗日期:2026-05-27 | 是否默认:是 | 状态:正常 | 创建时间:2026-05-27T15:49:05</v>
      </c>
      <c r="L108">
        <f>=IMAGE("https://tailtravel.cn/api/v1/files/static/images/202605/20260530_153724_09cb6cb8.jpg?w=200&amp;q=75")</f>
      </c>
      <c r="M108" t="str">
        <v/>
      </c>
    </row>
    <row r="109">
      <c r="A109" t="str">
        <v>QD20260603224358517</v>
      </c>
      <c r="B109">
        <v>7</v>
      </c>
      <c r="C109" t="str">
        <v>6月会员活动-狗狗考古记</v>
      </c>
      <c r="D109" t="str">
        <v>2026-06-19</v>
      </c>
      <c r="E109" t="str">
        <v>苏苏</v>
      </c>
      <c r="F109" t="str">
        <v>15364529785</v>
      </c>
      <c r="G109" t="str">
        <v>331023199205277023</v>
      </c>
      <c r="H109" t="str">
        <v>1人/1宠</v>
      </c>
      <c r="I109" t="str">
        <v/>
      </c>
      <c r="J109">
        <v>1</v>
      </c>
      <c r="K109" t="str">
        <v>宠物1 | 名称:豆 | 性别:公 | 出生日期:2025-06-01 | 年龄:1 | 疫苗日期:2026-05-27 | 是否默认:是 | 状态:正常 | 创建时间:2026-05-27T15:49:05</v>
      </c>
      <c r="L109">
        <f>=IMAGE("https://tailtravel.cn/api/v1/files/static/images/202605/20260530_153724_09cb6cb8.jpg?w=200&amp;q=75")</f>
      </c>
      <c r="M109" t="str">
        <v/>
      </c>
    </row>
    <row r="110">
      <c r="A110" t="str">
        <v>QD20260601135629747</v>
      </c>
      <c r="B110">
        <v>15</v>
      </c>
      <c r="C110" t="str">
        <v>九子岩狗狗庙祈福3日游</v>
      </c>
      <c r="D110" t="str">
        <v>2026-06-19</v>
      </c>
      <c r="E110" t="str">
        <v>帆帆</v>
      </c>
      <c r="F110" t="str">
        <v>18734729308</v>
      </c>
      <c r="G110" t="str">
        <v>142630200009171026</v>
      </c>
      <c r="H110" t="str">
        <v>1人/1宠</v>
      </c>
      <c r="I110" t="str">
        <v/>
      </c>
      <c r="J110">
        <v>1</v>
      </c>
      <c r="K110" t="str">
        <v>宠物1 | 名称:豆豆 | 性别:公 | 出生日期:2025-06-01 | 年龄:1 | 疫苗日期:2026-06-01 | 是否默认:是 | 状态:正常 | 创建时间:2026-06-01T13:56:25</v>
      </c>
      <c r="L110" t="str">
        <v/>
      </c>
      <c r="M110" t="str">
        <v/>
      </c>
    </row>
  </sheetData>
  <ignoredErrors>
    <ignoredError numberStoredAsText="1" sqref="A1:M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保险订单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